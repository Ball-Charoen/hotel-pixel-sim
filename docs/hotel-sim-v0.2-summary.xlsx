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สรุป v0.2" sheetId="1" state="visible" r:id="rId3"/>
    <sheet name="เหตุการณ์ฉุกเฉิน" sheetId="2" state="visible" r:id="rId4"/>
    <sheet name="อีเวนต์และวิกฤตภายใน" sheetId="3" state="visible" r:id="rId5"/>
    <sheet name="ผลทดสอบการสุ่ม" sheetId="4" state="visible" r:id="rId6"/>
    <sheet name="สเปกงานภาพ" sheetId="5" state="visible" r:id="rId7"/>
    <sheet name="ตัวเลือกโฮสติ้ง" sheetId="6" state="visible" r:id="rId8"/>
    <sheet name="เมืองและฤดูกาล" sheetId="7" state="visible" r:id="rId9"/>
    <sheet name="ข้อควรระวัง" sheetId="8" state="visible" r:id="rId10"/>
    <sheet name="แหล่งอ้างอิง" sheetId="9" state="visible" r:id="rId11"/>
  </sheets>
  <definedNames>
    <definedName function="false" hidden="true" localSheetId="1" name="_xlnm._FilterDatabase" vbProcedure="false">เหตุการณ์ฉุกเฉิน!$A$4:$K$25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FreeSans"/>
            <family val="2"/>
          </rPr>
          <t xml:space="preserve">ค่าสมมติ ไม่ได้อ้างอิงอัตราจริง กรุณาแก้เป็นอัตราแลกเปลี่ยนปัจจุบัน</t>
        </r>
      </text>
    </comment>
  </commentList>
</comments>
</file>

<file path=xl/sharedStrings.xml><?xml version="1.0" encoding="utf-8"?>
<sst xmlns="http://schemas.openxmlformats.org/spreadsheetml/2006/main" count="658" uniqueCount="448">
  <si>
    <t xml:space="preserve">Hotel Pixel Simulation: สรุปการปรับปรุงต้นแบบ P0 v0.2</t>
  </si>
  <si>
    <t xml:space="preserve">อัปเดต 8 ต.ค. 2026 · ที่มา: คำขอ 12 ข้อของผู้ใช้ และคำตอบของ Claude</t>
  </si>
  <si>
    <t xml:space="preserve">ลิงก์เกม</t>
  </si>
  <si>
    <t xml:space="preserve">https://claude.ai/artifact/3JrHfhT2sVswMpyDUAMkjs</t>
  </si>
  <si>
    <t xml:space="preserve">วิธีใช้: แก้ไขได้เฉพาะคอลัมน์ "สถานะ" (สีเหลือง) โดยเลือกจากรายการ</t>
  </si>
  <si>
    <t xml:space="preserve">ข้อ</t>
  </si>
  <si>
    <t xml:space="preserve">คำขอ (สรุป)</t>
  </si>
  <si>
    <t xml:space="preserve">สิ่งที่ปรับใน v0.2</t>
  </si>
  <si>
    <t xml:space="preserve">อยู่ที่แท็บในเกม</t>
  </si>
  <si>
    <t xml:space="preserve">สถานะ</t>
  </si>
  <si>
    <t xml:space="preserve">แหล่งอ้างอิง</t>
  </si>
  <si>
    <t xml:space="preserve">อธิบาย MPI และ ARI บนแกนกราฟ XY</t>
  </si>
  <si>
    <t xml:space="preserve">ทั้งสองแกนมีชื่อไทยและสูตรกำกับ พร้อมกล่องอธิบายใต้กราฟ: MPI = Market Penetration Index (Occupancy เทียบคู่แข่ง) และ ARI = Average Rate Index (ADR เทียบคู่แข่ง)</t>
  </si>
  <si>
    <t xml:space="preserve">รายงานผล</t>
  </si>
  <si>
    <t xml:space="preserve">เสร็จแล้ว</t>
  </si>
  <si>
    <t xml:space="preserve">EHL Insights</t>
  </si>
  <si>
    <t xml:space="preserve">ปฏิทินอีเวนต์ที่รู้ล่วงหน้า</t>
  </si>
  <si>
    <t xml:space="preserve">ปฏิทิน 12 สัปดาห์: เทศกาลและงานของเมืองประกาศตั้งแต่ต้นเกม เหตุการณ์ฉุกเฉินแสดงเป็น "?" จนกว่าจะเกิด อีเวนต์ที่ประกาศแล้วมีโอกาสถูกยกเลิก 12%</t>
  </si>
  <si>
    <t xml:space="preserve">ตลาดและปฏิทิน</t>
  </si>
  <si>
    <t xml:space="preserve">–</t>
  </si>
  <si>
    <t xml:space="preserve">ฤดูท่องเที่ยวตามบริบทเมือง</t>
  </si>
  <si>
    <t xml:space="preserve">แถบฤดูกาล 2 ชั้น: ไฮซีซั่น / กึ่งไฮซีซั่น / โลว์ซีซั่นของเมือง และฤดูกาลไทย ผู้สอนเลือกเดือนเริ่มเกมได้</t>
  </si>
  <si>
    <t xml:space="preserve">สสช. (ฤดูกาลไทย); PhuketFerry, Nomadotravel (ภูเก็ต); ศิลปวัฒนธรรม (ระนอง)</t>
  </si>
  <si>
    <t xml:space="preserve">ชื่อเมืองและภาพแมพจริง</t>
  </si>
  <si>
    <t xml:space="preserve">4 แมพ 9 เมือง แผนที่พิกเซลจากเส้นเขตแดนจริง กดเลือกเมืองได้ แต่ละเมืองมีเรื่องราว ภาพพิกเซลสถานที่เด่น และกราฟฤดูท่องเที่ยวรายเดือน</t>
  </si>
  <si>
    <t xml:space="preserve">หน้าเริ่มเกม / ตลาดและปฏิทิน</t>
  </si>
  <si>
    <t xml:space="preserve">Natural Earth (สาธารณสมบัติ)</t>
  </si>
  <si>
    <t xml:space="preserve">หน้าจอลูกค้า</t>
  </si>
  <si>
    <t xml:space="preserve">การรับรู้รายกลุ่มเทียบคู่แข่ง, ความคาดหวังเทียบคุณภาพที่ได้รับ, การกระจายดาว, สัดส่วนรีวิวบวก/กลาง/ลบ และตัวอย่างรีวิวที่สร้างจากสาเหตุจริงในเกม</t>
  </si>
  <si>
    <t xml:space="preserve">ลูกค้า</t>
  </si>
  <si>
    <t xml:space="preserve">Litvin et al. (2008); SERVQUAL</t>
  </si>
  <si>
    <t xml:space="preserve">หน้าจอพนักงาน</t>
  </si>
  <si>
    <t xml:space="preserve">คุณภาพบริการเฉลี่ยของทีม 4 มิติเทียบคู่แข่ง, กราฟคุณภาพที่ส่งมอบเทียบความคาดหวังรายสัปดาห์, ความพอของพนักงาน และภาระงาน</t>
  </si>
  <si>
    <t xml:space="preserve">พนักงาน</t>
  </si>
  <si>
    <t xml:space="preserve">SERVQUAL</t>
  </si>
  <si>
    <t xml:space="preserve">ชื่อกลุ่ม "ครอบครัวไทย" สับสน</t>
  </si>
  <si>
    <t xml:space="preserve">เปลี่ยนเป็น "กลุ่มครอบครัว"</t>
  </si>
  <si>
    <t xml:space="preserve">ตัดสินใจ</t>
  </si>
  <si>
    <t xml:space="preserve">หน้าจอตัดสินใจเล็กเกินไป</t>
  </si>
  <si>
    <t xml:space="preserve">เปลี่ยนเป็นแท็บเต็มจอ ตารางกลุ่มลูกค้ากว้างขึ้น และเพิ่มคอลัมน์ "วันที่มักพัก"</t>
  </si>
  <si>
    <t xml:space="preserve">เหตุการณ์สุ่มดูซ้ำ หลากหลายน้อย</t>
  </si>
  <si>
    <t xml:space="preserve">เหตุการณ์ฉุกเฉิน 21 แบบใน 3 หมวด + ปัญหาภายในที่พัก 4 แบบ + เทศกาลตามวันที่จริง กรองตามเมืองและเดือน เหตุการณ์ใหญ่เกิดครั้งเดียวต่อเกม เหตุการณ์เล็กเว้น 4 สัปดาห์ มีแท็บคลังเหตุการณ์และปุ่มจำลองความถี่ (ดูแท็บ "เหตุการณ์ฉุกเฉิน" และ "ผลทดสอบการสุ่ม")</t>
  </si>
  <si>
    <t xml:space="preserve">ปุ่ม i มุมขวาบน (ย้ายใน v0.3)</t>
  </si>
  <si>
    <t xml:space="preserve">Faulkner (2001)</t>
  </si>
  <si>
    <t xml:space="preserve">ปรับสัดส่วนคะแนน การเงินมาก่อน</t>
  </si>
  <si>
    <t xml:space="preserve">การเงิน 50% ชื่อเสียง 35% พนักงาน 15% และโรงแรมที่ขาดทุนสะสมอยู่ท้ายโรงแรมที่มีกำไรเสมอ ทดสอบ 300 เกมไม่มีกรณีผิดกติกา</t>
  </si>
  <si>
    <t xml:space="preserve">หน้าสรุปท้ายเกม</t>
  </si>
  <si>
    <t xml:space="preserve">ดีไซน์ตัวละครและอาคาร</t>
  </si>
  <si>
    <t xml:space="preserve">ตอนนี้ใช้ภาพชั่วคราว ต้องการภาพดีไซน์จากผู้ใช้ตามสเปก (ดูแท็บ "สเปกงานภาพ")</t>
  </si>
  <si>
    <t xml:space="preserve">พนักงาน / รายงานผล</t>
  </si>
  <si>
    <t xml:space="preserve">รอภาพจากผู้ใช้</t>
  </si>
  <si>
    <t xml:space="preserve">งบ 4,000 บาทตลอดโปรเจกต์</t>
  </si>
  <si>
    <t xml:space="preserve">เสนอ 3 ทาง: A ระบบ Artifact ของ claude.ai, B GitHub Pages + Supabase, C Colyseus Cloud แนะนำ A สำหรับทดลองในชั้นเรียน แล้วใช้ B เมื่อเปิดสาธารณะ (ดูแท็บ "ตัวเลือกโฮสติ้ง")</t>
  </si>
  <si>
    <t xml:space="preserve">รอเลือกทาง</t>
  </si>
  <si>
    <t xml:space="preserve">Supabase, GitHub Docs, Colyseus</t>
  </si>
  <si>
    <t xml:space="preserve">สรุปสถานะ</t>
  </si>
  <si>
    <t xml:space="preserve">กำลังทำ</t>
  </si>
  <si>
    <t xml:space="preserve">ยังไม่เริ่ม</t>
  </si>
  <si>
    <t xml:space="preserve">รวม</t>
  </si>
  <si>
    <t xml:space="preserve">คลังเหตุการณ์ฉุกเฉิน 21 แบบ (รู้หลังเกิดเท่านั้น)</t>
  </si>
  <si>
    <t xml:space="preserve">ที่มา: ไฟล์เกม v0.2 · ขนาดผลกระทบเป็นค่าออกแบบเพื่อการเรียนรู้ ไม่ได้ประมาณจากข้อมูลจริง</t>
  </si>
  <si>
    <t xml:space="preserve">เหตุการณ์</t>
  </si>
  <si>
    <t xml:space="preserve">หมวด</t>
  </si>
  <si>
    <t xml:space="preserve">ความรุนแรง</t>
  </si>
  <si>
    <t xml:space="preserve">ผล</t>
  </si>
  <si>
    <t xml:space="preserve">คำอธิบาย</t>
  </si>
  <si>
    <t xml:space="preserve">เกิดที่</t>
  </si>
  <si>
    <t xml:space="preserve">เดือนที่เกิดได้</t>
  </si>
  <si>
    <t xml:space="preserve">ระยะเวลา</t>
  </si>
  <si>
    <t xml:space="preserve">เกิดซ้ำในเกม</t>
  </si>
  <si>
    <t xml:space="preserve">ผลเต็มที่ (สัปดาห์แรก)</t>
  </si>
  <si>
    <t xml:space="preserve">น้ำหนักพื้นฐาน</t>
  </si>
  <si>
    <t xml:space="preserve">แผ่นดินไหวรุนแรง</t>
  </si>
  <si>
    <t xml:space="preserve">มหภาคและภัยธรรมชาติ</t>
  </si>
  <si>
    <t xml:space="preserve">รุนแรงมาก</t>
  </si>
  <si>
    <t xml:space="preserve">ร้าย</t>
  </si>
  <si>
    <t xml:space="preserve">อาคารต้องตรวจความปลอดภัย นักท่องเที่ยวยกเลิกจำนวนมาก</t>
  </si>
  <si>
    <t xml:space="preserve">เชียงใหม่</t>
  </si>
  <si>
    <t xml:space="preserve">ทุกเดือน</t>
  </si>
  <si>
    <t xml:space="preserve">2–3 สัปดาห์</t>
  </si>
  <si>
    <t xml:space="preserve">ไม่ได้ (ครั้งเดียวต่อเกม)</t>
  </si>
  <si>
    <t xml:space="preserve">ดีมานด์ทุกกลุ่ม −45%, ต่างชาติ −20%</t>
  </si>
  <si>
    <t xml:space="preserve">สึนามิ</t>
  </si>
  <si>
    <t xml:space="preserve">ชายฝั่งเสียหาย พื้นที่ไม่ปลอดภัย การท่องเที่ยวหยุดชะงัก</t>
  </si>
  <si>
    <t xml:space="preserve">ภูเก็ต, ระนอง</t>
  </si>
  <si>
    <t xml:space="preserve">4–5 สัปดาห์</t>
  </si>
  <si>
    <t xml:space="preserve">ดีมานด์ทุกกลุ่ม −65%</t>
  </si>
  <si>
    <t xml:space="preserve">น้ำท่วมใหญ่</t>
  </si>
  <si>
    <t xml:space="preserve">ใหญ่</t>
  </si>
  <si>
    <t xml:space="preserve">ถนนถูกตัดขาด การเดินทางหยุดชะงัก ต้นทุนดูแลอาคารเพิ่ม</t>
  </si>
  <si>
    <t xml:space="preserve">กรุงเทพฯ, ขอนแก่น, เพชรบุรี, ราชบุรี, ระนอง, เชียงใหม่, เพชรบูรณ์</t>
  </si>
  <si>
    <t xml:space="preserve">ก.ค. ส.ค. ก.ย. ต.ค. พ.ย.</t>
  </si>
  <si>
    <t xml:space="preserve">ดีมานด์ทุกกลุ่ม −45%, ต้นทุนคงที่ +25%</t>
  </si>
  <si>
    <t xml:space="preserve">พายุเข้า</t>
  </si>
  <si>
    <t xml:space="preserve">เล็ก</t>
  </si>
  <si>
    <t xml:space="preserve">ฝนตกหนักและลมแรง นักท่องเที่ยวเลื่อนทริป</t>
  </si>
  <si>
    <t xml:space="preserve">ทุกเมือง</t>
  </si>
  <si>
    <t xml:space="preserve">พ.ค. มิ.ย. ก.ค. ส.ค. ก.ย. ต.ค. พ.ย.</t>
  </si>
  <si>
    <t xml:space="preserve">1 สัปดาห์</t>
  </si>
  <si>
    <t xml:space="preserve">ได้ (เว้น 4 สัปดาห์)</t>
  </si>
  <si>
    <t xml:space="preserve">ดีมานด์ทุกกลุ่ม −30%</t>
  </si>
  <si>
    <t xml:space="preserve">โรคระบาดรุนแรง</t>
  </si>
  <si>
    <t xml:space="preserve">มีการจำกัดการเดินทางและล็อกดาวน์บางพื้นที่ ต่างชาติแทบหายไป</t>
  </si>
  <si>
    <t xml:space="preserve">6–8 สัปดาห์</t>
  </si>
  <si>
    <t xml:space="preserve">ต่างชาติ −85%, คนไทย −45%</t>
  </si>
  <si>
    <t xml:space="preserve">ฝุ่นควันหนาแน่น</t>
  </si>
  <si>
    <t xml:space="preserve">คุณภาพอากาศแย่ นักท่องเที่ยวบางส่วนเลี่ยงพื้นที่</t>
  </si>
  <si>
    <t xml:space="preserve">กรุงเทพฯ, ขอนแก่น, เชียงใหม่, เพชรบูรณ์</t>
  </si>
  <si>
    <t xml:space="preserve">ม.ค. ก.พ. มี.ค. เม.ย.</t>
  </si>
  <si>
    <t xml:space="preserve">2 สัปดาห์</t>
  </si>
  <si>
    <t xml:space="preserve">ดีมานด์ทุกกลุ่ม −15%, ต่างชาติ −15%</t>
  </si>
  <si>
    <t xml:space="preserve">เศรษฐกิจตกต่ำ</t>
  </si>
  <si>
    <t xml:space="preserve">คนลดงบท่องเที่ยว ลูกค้าอ่อนไหวต่อราคามากขึ้น</t>
  </si>
  <si>
    <t xml:space="preserve">ดีมานด์ทุกกลุ่ม −15%, งบต่อคืนของลูกค้า −12%</t>
  </si>
  <si>
    <t xml:space="preserve">เงินบาทแข็งค่า</t>
  </si>
  <si>
    <t xml:space="preserve">เที่ยวไทยแพงขึ้นในสายตาต่างชาติ</t>
  </si>
  <si>
    <t xml:space="preserve">3 สัปดาห์</t>
  </si>
  <si>
    <t xml:space="preserve">ต่างชาติ −15%</t>
  </si>
  <si>
    <t xml:space="preserve">เงินบาทอ่อนค่า</t>
  </si>
  <si>
    <t xml:space="preserve">ดี</t>
  </si>
  <si>
    <t xml:space="preserve">เที่ยวไทยคุ้มค่าขึ้นสำหรับต่างชาติ</t>
  </si>
  <si>
    <t xml:space="preserve">ต่างชาติ +15%</t>
  </si>
  <si>
    <t xml:space="preserve">ค่าไฟและพลังงานพุ่ง</t>
  </si>
  <si>
    <t xml:space="preserve">ต้นทุนคงที่ของทุกโรงแรมสูงขึ้น</t>
  </si>
  <si>
    <t xml:space="preserve">ต้นทุนคงที่ +30%</t>
  </si>
  <si>
    <t xml:space="preserve">การประท้วงรุนแรง</t>
  </si>
  <si>
    <t xml:space="preserve">การเมืองและความปลอดภัย</t>
  </si>
  <si>
    <t xml:space="preserve">การชุมนุมยืดเยื้อ ต่างชาติและนักธุรกิจเลี่ยงพื้นที่</t>
  </si>
  <si>
    <t xml:space="preserve">นักธุรกิจ −25%, ต่างชาติ −40%, คนไทย −10%</t>
  </si>
  <si>
    <t xml:space="preserve">วิกฤตการเมืองระดับประเทศ</t>
  </si>
  <si>
    <t xml:space="preserve">การเปลี่ยนแปลงทางการเมืองฉับพลัน (เช่น รัฐประหาร) ความเชื่อมั่นนักเดินทางลดลง</t>
  </si>
  <si>
    <t xml:space="preserve">4 สัปดาห์</t>
  </si>
  <si>
    <t xml:space="preserve">นักธุรกิจ −20%, ต่างชาติ −35%</t>
  </si>
  <si>
    <t xml:space="preserve">เหตุก่อการร้ายในพื้นที่</t>
  </si>
  <si>
    <t xml:space="preserve">ความกังวลด้านความปลอดภัย นักท่องเที่ยวยกเลิกทริป</t>
  </si>
  <si>
    <t xml:space="preserve">3–4 สัปดาห์</t>
  </si>
  <si>
    <t xml:space="preserve">ต่างชาติ −50%, คนไทย −25%</t>
  </si>
  <si>
    <t xml:space="preserve">ประกาศเตือนการเดินทาง</t>
  </si>
  <si>
    <t xml:space="preserve">ประเทศต้นทางหลักเตือนพลเมืองให้ชะลอการเดินทางมาพื้นที่นี้</t>
  </si>
  <si>
    <t xml:space="preserve">ต่างชาติ −30%</t>
  </si>
  <si>
    <t xml:space="preserve">โรงแรมคู่แข่งเปิดใหม่</t>
  </si>
  <si>
    <t xml:space="preserve">อุตสาหกรรมและการแข่งขัน</t>
  </si>
  <si>
    <t xml:space="preserve">โรงแรมใหม่ (นอกเกม) เปิดใกล้ๆ ลูกค้ามีทางเลือกมากขึ้นถาวร</t>
  </si>
  <si>
    <t xml:space="preserve">ถาวร</t>
  </si>
  <si>
    <t xml:space="preserve">ทางเลือกนอกเกม +18%</t>
  </si>
  <si>
    <t xml:space="preserve">ที่พักทางเลือกแบบ Airbnb เพิ่มขึ้น</t>
  </si>
  <si>
    <t xml:space="preserve">บ้านและคอนโดให้เช่ารายวันเพิ่มขึ้น แย่งลูกค้าบางส่วนถาวร</t>
  </si>
  <si>
    <t xml:space="preserve">ทางเลือกนอกเกม +10%</t>
  </si>
  <si>
    <t xml:space="preserve">แรงงานบริการขาดแคลน</t>
  </si>
  <si>
    <t xml:space="preserve">พนักงานทุกโรงแรมคาดหวังเงินเดือนสูงขึ้น ความพึงพอใจลดลง</t>
  </si>
  <si>
    <t xml:space="preserve">ความพึงพอใจพนักงาน −10</t>
  </si>
  <si>
    <t xml:space="preserve">คลิปเที่ยวเมืองนี้ไวรัล</t>
  </si>
  <si>
    <t xml:space="preserve">ต่างชาติสนใจพื้นที่นี้มากขึ้น</t>
  </si>
  <si>
    <t xml:space="preserve">ต่างชาติ +30%</t>
  </si>
  <si>
    <t xml:space="preserve">สายการบินเปิดเส้นทางบินตรงใหม่</t>
  </si>
  <si>
    <t xml:space="preserve">เดินทางสะดวกขึ้น ต่างชาติเพิ่มขึ้น</t>
  </si>
  <si>
    <t xml:space="preserve">ต่างชาติ +25%</t>
  </si>
  <si>
    <t xml:space="preserve">มาตรการกระตุ้นเที่ยวในประเทศ</t>
  </si>
  <si>
    <t xml:space="preserve">รัฐช่วยออกค่าที่พักบางส่วน คนไทยออกเที่ยวมากขึ้น</t>
  </si>
  <si>
    <t xml:space="preserve">คนไทย +25%</t>
  </si>
  <si>
    <t xml:space="preserve">ซีรีส์ดังถ่ายทำในเมือง</t>
  </si>
  <si>
    <t xml:space="preserve">คู่รักและวัยรุ่นตามรอยสถานที่ถ่ายทำ</t>
  </si>
  <si>
    <t xml:space="preserve">แบ็คแพ็คเกอร์ +20%, คู่รัก +30%</t>
  </si>
  <si>
    <t xml:space="preserve">นับตามหมวด</t>
  </si>
  <si>
    <t xml:space="preserve">เหตุการณ์ดี (▲)</t>
  </si>
  <si>
    <t xml:space="preserve">หมายเหตุ: น้ำหนักจริงในแต่ละเกม = น้ำหนักพื้นฐาน × ตัวคูณความรุนแรงของระดับเหตุการณ์ (ดูแท็บ "ผลทดสอบการสุ่ม") และกรองตามเมืองกับเดือน การแบ่งภัยพิบัติ/วิกฤตอิง Faulkner (2001)</t>
  </si>
  <si>
    <t xml:space="preserve">อีเวนต์ที่รู้ล่วงหน้า และปัญหาภายในที่พัก</t>
  </si>
  <si>
    <t xml:space="preserve">ที่มา: ไฟล์เกม v0.2</t>
  </si>
  <si>
    <t xml:space="preserve">เทศกาลประจำปี (ตามวันที่จริง)</t>
  </si>
  <si>
    <t xml:space="preserve">อีเวนต์</t>
  </si>
  <si>
    <t xml:space="preserve">วันที่ในเกม</t>
  </si>
  <si>
    <t xml:space="preserve">เมือง</t>
  </si>
  <si>
    <t xml:space="preserve">ผลต่อดีมานด์</t>
  </si>
  <si>
    <t xml:space="preserve">เทศกาลสงกรานต์</t>
  </si>
  <si>
    <t xml:space="preserve">13 เม.ย.</t>
  </si>
  <si>
    <t xml:space="preserve">13–15 เมษายน คนไทยเดินทางเที่ยวและกลับบ้านพร้อมกัน</t>
  </si>
  <si>
    <t xml:space="preserve">แบ็คแพ็คเกอร์ +30%, กลุ่มครอบครัว +60%, คู่รัก +30%, นักธุรกิจ −40%</t>
  </si>
  <si>
    <t xml:space="preserve">ลอยกระทง</t>
  </si>
  <si>
    <t xml:space="preserve">15 พ.ย.</t>
  </si>
  <si>
    <t xml:space="preserve">วันเพ็ญเดือนสิบสอง ราวกลางเดือนพฤศจิกายน (วันที่เปลี่ยนทุกปี)</t>
  </si>
  <si>
    <t xml:space="preserve">แบ็คแพ็คเกอร์ +15%, กลุ่มครอบครัว +20%, คู่รัก +45%, นักธุรกิจ −10%</t>
  </si>
  <si>
    <t xml:space="preserve">ปีใหม่</t>
  </si>
  <si>
    <t xml:space="preserve">31 ธ.ค.</t>
  </si>
  <si>
    <t xml:space="preserve">ช่วงหยุดยาวสิ้นปี</t>
  </si>
  <si>
    <t xml:space="preserve">แบ็คแพ็คเกอร์ +30%, กลุ่มครอบครัว +45%, คู่รัก +40%, นักธุรกิจ −50%</t>
  </si>
  <si>
    <t xml:space="preserve">ตรุษจีน</t>
  </si>
  <si>
    <t xml:space="preserve">5 ก.พ.</t>
  </si>
  <si>
    <t xml:space="preserve">ช่วงปลาย ม.ค.–ก.พ. (วันที่เปลี่ยนทุกปี) ดีมานด์โรงแรมสูงขึ้น</t>
  </si>
  <si>
    <t xml:space="preserve">กลุ่มครอบครัว +20%, คู่รัก +10%, ต่างชาติ +20%</t>
  </si>
  <si>
    <t xml:space="preserve">เทศกาลถือศีลกินผักภูเก็ต</t>
  </si>
  <si>
    <t xml:space="preserve">1 ต.ค.</t>
  </si>
  <si>
    <t xml:space="preserve">ภูเก็ต</t>
  </si>
  <si>
    <t xml:space="preserve">ช่วงปลาย ก.ย.–ต้น ต.ค. ราว 9 วัน</t>
  </si>
  <si>
    <t xml:space="preserve">แบ็คแพ็คเกอร์ +15%, กลุ่มครอบครัว +30%, ต่างชาติ +10%</t>
  </si>
  <si>
    <t xml:space="preserve">ลอยกระทงและตรุษจีนเปลี่ยนวันทุกปี เกมใช้วันโดยประมาณ วันเทศกาลกินผักภูเก็ตอ้างอิงปฏิทินเทศกาลภูเก็ต (ดูแท็บแหล่งอ้างอิง)</t>
  </si>
  <si>
    <t xml:space="preserve">อีเวนต์ของเมือง (สุ่มสัปดาห์ ประกาศตั้งแต่ต้นเกม 2–3 งาน)</t>
  </si>
  <si>
    <t xml:space="preserve">ประเภท</t>
  </si>
  <si>
    <t xml:space="preserve">โอกาสถูกยกเลิก</t>
  </si>
  <si>
    <t xml:space="preserve">คอนเสิร์ตใหญ่</t>
  </si>
  <si>
    <t xml:space="preserve">งานทั่วไป</t>
  </si>
  <si>
    <t xml:space="preserve">แฟนเพลงวัยรุ่นและคู่รักจองที่พักใกล้งาน</t>
  </si>
  <si>
    <t xml:space="preserve">แบ็คแพ็คเกอร์ +50%, คู่รัก +40%</t>
  </si>
  <si>
    <t xml:space="preserve">งานประชุมนานาชาติ</t>
  </si>
  <si>
    <t xml:space="preserve">งานประชุม/ธุรกิจ (เกิดบ่อยในเมือง MICE)</t>
  </si>
  <si>
    <t xml:space="preserve">บริษัทส่งพนักงานมาร่วมงาน ดีมานด์นักธุรกิจพุ่ง</t>
  </si>
  <si>
    <t xml:space="preserve">นักธุรกิจ +90%, ต่างชาติ +10%</t>
  </si>
  <si>
    <t xml:space="preserve">งานวิ่งมาราธอน</t>
  </si>
  <si>
    <t xml:space="preserve">นักวิ่งและครอบครัวเดินทางมาพักคืนก่อนแข่ง</t>
  </si>
  <si>
    <t xml:space="preserve">แบ็คแพ็คเกอร์ +30%, กลุ่มครอบครัว +25%, คู่รัก +15%</t>
  </si>
  <si>
    <t xml:space="preserve">งานแสดงสินค้า</t>
  </si>
  <si>
    <t xml:space="preserve">ผู้ประกอบการและผู้ซื้อมาร่วมงานหลายวัน</t>
  </si>
  <si>
    <t xml:space="preserve">กลุ่มครอบครัว +10%, นักธุรกิจ +50%</t>
  </si>
  <si>
    <t xml:space="preserve">การแข่งขันกีฬานานาชาติ</t>
  </si>
  <si>
    <t xml:space="preserve">แฟนกีฬาต่างชาติเดินทางมาชมการแข่งขัน</t>
  </si>
  <si>
    <t xml:space="preserve">แบ็คแพ็คเกอร์ +40%, คู่รัก +20%, นักธุรกิจ +15%, ต่างชาติ +20%</t>
  </si>
  <si>
    <t xml:space="preserve">ปัญหาภายในที่พัก (วิกฤตที่เกิดจากการบริหาร สุ่มแยกรายโรงแรมทุกสัปดาห์)</t>
  </si>
  <si>
    <t xml:space="preserve">รูปแบบ</t>
  </si>
  <si>
    <t xml:space="preserve">โอกาสเกิดต่อสัปดาห์</t>
  </si>
  <si>
    <t xml:space="preserve">เงื่อนไขที่เพิ่มโอกาส</t>
  </si>
  <si>
    <t xml:space="preserve">วิกฤตด้านชื่อเสียง</t>
  </si>
  <si>
    <t xml:space="preserve">รีวิวลบไวรัล / ภาพห้องไม่สะอาด / ข่าวแขกท้องเสียหลังอาหารเช้า / ข้อมูลแขกรั่วไหล</t>
  </si>
  <si>
    <t xml:space="preserve">2% (+8%, +4%)</t>
  </si>
  <si>
    <t xml:space="preserve">รีวิวสัปดาห์ก่อนต่ำกว่า 3 ดาว (+8%), พนักงานไม่พอ (+4%)</t>
  </si>
  <si>
    <t xml:space="preserve">ดาวลด 0.45 ทันที</t>
  </si>
  <si>
    <t xml:space="preserve">ระบบจองล่ม ห้องเกิน (overbooking)</t>
  </si>
  <si>
    <t xml:space="preserve">ต้องย้ายแขกไปที่อื่น</t>
  </si>
  <si>
    <t xml:space="preserve">15%</t>
  </si>
  <si>
    <t xml:space="preserve">Occupancy สัปดาห์ก่อนเกิน 92%</t>
  </si>
  <si>
    <t xml:space="preserve">ชดเชยแขก 3,000 บาท ดาวลด 0.2</t>
  </si>
  <si>
    <t xml:space="preserve">ต้องปิดซ่อม 2 ห้อง</t>
  </si>
  <si>
    <t xml:space="preserve">ท่อแตกหรือหลังคารั่ว</t>
  </si>
  <si>
    <t xml:space="preserve">3%</t>
  </si>
  <si>
    <t xml:space="preserve">ค่าซ่อม 8,000 บาท ขายได้ 6 ห้อง นาน 2 สัปดาห์</t>
  </si>
  <si>
    <t xml:space="preserve">ถูกวิจารณ์ว่าโก่งราคา</t>
  </si>
  <si>
    <t xml:space="preserve">แขกโพสต์ตำหนิ</t>
  </si>
  <si>
    <t xml:space="preserve">30%</t>
  </si>
  <si>
    <t xml:space="preserve">ราคาเฉลี่ยเกินคู่แข่ง 60% ในสัปดาห์ที่มีอีเวนต์</t>
  </si>
  <si>
    <t xml:space="preserve">ดาวลด 0.25</t>
  </si>
  <si>
    <t xml:space="preserve">กติกาการสุ่มและผลทดสอบความหลากหลาย</t>
  </si>
  <si>
    <t xml:space="preserve">ที่มา: ไฟล์เกม v0.2 และผลจำลองของ Claude วันที่ 8 ต.ค. 2026 (400 เกมต่อระดับ คละ 9 เมืองและ 12 เดือนเริ่ม)</t>
  </si>
  <si>
    <t xml:space="preserve">ระดับเหตุการณ์</t>
  </si>
  <si>
    <t xml:space="preserve">สุ่มได้สูงสุดต่อสัปดาห์</t>
  </si>
  <si>
    <t xml:space="preserve">ตัวคูณความรุนแรง</t>
  </si>
  <si>
    <t xml:space="preserve">น้ำหนัก: เล็ก</t>
  </si>
  <si>
    <t xml:space="preserve">น้ำหนัก: ใหญ่</t>
  </si>
  <si>
    <t xml:space="preserve">น้ำหนัก: รุนแรงมาก</t>
  </si>
  <si>
    <t xml:space="preserve">เพดานการสุ่มต่อเกม (ก่อนกรอง)</t>
  </si>
  <si>
    <t xml:space="preserve">ผลทดสอบ: เหตุการณ์ใหม่ต่อเกม</t>
  </si>
  <si>
    <t xml:space="preserve">ผลทดสอบ: สัปดาห์ที่ได้รับผลต่อเกม</t>
  </si>
  <si>
    <t xml:space="preserve">ผลทดสอบ: จำนวนแบบที่ไม่ซ้ำ</t>
  </si>
  <si>
    <t xml:space="preserve">ต่ำ</t>
  </si>
  <si>
    <t xml:space="preserve">กลาง</t>
  </si>
  <si>
    <t xml:space="preserve">สูง (โกลาหล)</t>
  </si>
  <si>
    <t xml:space="preserve">เพดานการสุ่มต่อเกม = โอกาสต่อสัปดาห์ × จำนวนสูงสุดต่อสัปดาห์ × 12 สัปดาห์ (ผลจริงต่ำกว่าเพราะกรองตามเมือง เดือน และเหตุการณ์ที่ยังมีผลอยู่)</t>
  </si>
  <si>
    <t xml:space="preserve">ตัวเลขสีน้ำเงินคือผลจำลองที่บันทึกไว้ ไม่ใช่สูตร ถ้าแก้ค่ากติกาในเกม ต้องรันการจำลองใหม่</t>
  </si>
  <si>
    <t xml:space="preserve">สเปกงานภาพที่ต้องการจากผู้ใช้ (ข้อ 11)</t>
  </si>
  <si>
    <t xml:space="preserve">ภาพในเกมตอนนี้เป็นภาพชั่วคราว: ตัวละครสร้างจากรหัส ภาพสถานที่เป็นพิกเซลที่วาดใหม่</t>
  </si>
  <si>
    <t xml:space="preserve">วิธีใช้: กรอกเฉพาะคอลัมน์สีเหลือง (สถานะ ผู้รับผิดชอบ กำหนดส่ง) ตัวเลขสีน้ำเงินคือค่าวางแผนที่แก้ได้</t>
  </si>
  <si>
    <t xml:space="preserve">วางแผน 8 คนจากช่วง 6–8 คน (สมมติ)</t>
  </si>
  <si>
    <t xml:space="preserve">งานภาพ</t>
  </si>
  <si>
    <t xml:space="preserve">ขนาด</t>
  </si>
  <si>
    <t xml:space="preserve">ท่า/เฟรมต่อแบบ</t>
  </si>
  <si>
    <t xml:space="preserve">จำนวนแบบ</t>
  </si>
  <si>
    <t xml:space="preserve">รวมชิ้นงาน</t>
  </si>
  <si>
    <t xml:space="preserve">รูปแบบไฟล์</t>
  </si>
  <si>
    <t xml:space="preserve">รายละเอียด</t>
  </si>
  <si>
    <t xml:space="preserve">ผู้รับผิดชอบ</t>
  </si>
  <si>
    <t xml:space="preserve">กำหนดส่ง</t>
  </si>
  <si>
    <t xml:space="preserve">ตัวละครพนักงาน (มุมด้านข้าง)</t>
  </si>
  <si>
    <t xml:space="preserve">32×32 px ต่อเฟรม</t>
  </si>
  <si>
    <t xml:space="preserve">PNG พื้นหลังโปร่งใส</t>
  </si>
  <si>
    <t xml:space="preserve">ท่ายืน 1 + เดิน 2 เฟรม + ให้บริการ 1 · 6–8 คนที่หน้าตาต่างกัน (วางแผนไว้ 8)</t>
  </si>
  <si>
    <t xml:space="preserve">ภาพหน้าตรงพนักงาน</t>
  </si>
  <si>
    <t xml:space="preserve">48×48 px</t>
  </si>
  <si>
    <t xml:space="preserve">ใช้ในการ์ดพนักงาน 1 ภาพต่อคน</t>
  </si>
  <si>
    <t xml:space="preserve">อาคารโรงแรม (ภาพตัดขวาง) ตามระดับ</t>
  </si>
  <si>
    <t xml:space="preserve">กว้างราว 320 px</t>
  </si>
  <si>
    <t xml:space="preserve">ระดับ T0–T4: โฮสเทล 8 ห้อง → ประเภท 1 → +ห้องอาหาร → +สถานบริการ → +ห้องประชุม</t>
  </si>
  <si>
    <t xml:space="preserve">สไตล์โรงแรม</t>
  </si>
  <si>
    <t xml:space="preserve">City Hotel, Resort, Hostel, Poshtel, Service Apartment</t>
  </si>
  <si>
    <t xml:space="preserve">ภาพเมือง</t>
  </si>
  <si>
    <t xml:space="preserve">160×96 px</t>
  </si>
  <si>
    <t xml:space="preserve">PNG</t>
  </si>
  <si>
    <t xml:space="preserve">กรุงเทพฯ, ขอนแก่น, ภูเก็ต, พัทยา, เพชรบุรี, ราชบุรี, ระนอง, เชียงใหม่, เพชรบูรณ์</t>
  </si>
  <si>
    <t xml:space="preserve">ข้อกำหนดทุกภาพ</t>
  </si>
  <si>
    <t xml:space="preserve">• ใช้พาเลตสีชุดเดียวกันทุกภาพ</t>
  </si>
  <si>
    <t xml:space="preserve">• ถ้าจ้างนักออกแบบ ควรตกลงให้สิทธิ์ใช้งานเป็นของผู้ใช้</t>
  </si>
  <si>
    <t xml:space="preserve">• ไฟล์ PNG พื้นหลังโปร่งใส (ยกเว้นภาพเมือง)</t>
  </si>
  <si>
    <t xml:space="preserve">ตัวเลือกโฮสติ้งในงบ 4,000 บาทตลอดโปรเจกต์ (ข้อ 12)</t>
  </si>
  <si>
    <t xml:space="preserve">ที่มา: คำตอบของ Claude 8 ต.ค. 2026 และแหล่งอ้างอิงในคอลัมน์ขวาสุด</t>
  </si>
  <si>
    <t xml:space="preserve">ทาง</t>
  </si>
  <si>
    <t xml:space="preserve">บริการ</t>
  </si>
  <si>
    <t xml:space="preserve">ค่าโฮสต์ (USD/เดือน)</t>
  </si>
  <si>
    <t xml:space="preserve">ข้อดี</t>
  </si>
  <si>
    <t xml:space="preserve">ข้อจำกัด</t>
  </si>
  <si>
    <t xml:space="preserve">เหมาะกับ</t>
  </si>
  <si>
    <t xml:space="preserve">A</t>
  </si>
  <si>
    <t xml:space="preserve">ระบบ Artifact ของ claude.ai (ที่หน้าเกมนี้รันอยู่)</t>
  </si>
  <si>
    <t xml:space="preserve">มีฐานข้อมูลที่ผู้เล่นแชร์กัน ห้องสื่อสารแบบเรียลไทม์ และรู้ว่าใครกำลังเล่น ทำโหมดแข่งในชั้นเรียนแบบเทิร์นได้</t>
  </si>
  <si>
    <t xml:space="preserve">ผู้เล่นต้องอยู่ในองค์กรเดียวกันหรือได้รับเชิญเป็นแขก ไม่ใช่เว็บสาธารณะ ต้องทดสอบจริงกับผู้เล่นหลายคนก่อน</t>
  </si>
  <si>
    <t xml:space="preserve">ทดลองในชั้นเรียน (P2) — แนะนำ</t>
  </si>
  <si>
    <t xml:space="preserve">เอกสารความสามารถของระบบ Artifact (ภายใน ไม่มีลิงก์สาธารณะ)</t>
  </si>
  <si>
    <t xml:space="preserve">B</t>
  </si>
  <si>
    <t xml:space="preserve">GitHub Pages + Supabase (แพ็กฟรี)</t>
  </si>
  <si>
    <t xml:space="preserve">เป็นเว็บสาธารณะ มีฐานข้อมูล Postgres</t>
  </si>
  <si>
    <t xml:space="preserve">GitHub Pages ใช้ฟรีกับ repository สาธารณะ เว็บไม่เกิน 1 GB และห้ามใช้เชิงพาณิชย์ · Supabase ฟรีให้ฐานข้อมูล 500 MB และพักโปรเจกต์ถ้าไม่มีการใช้งาน 1 สัปดาห์</t>
  </si>
  <si>
    <t xml:space="preserve">เปิดสาธารณะ</t>
  </si>
  <si>
    <t xml:space="preserve">https://supabase.com/pricing ; https://docs.github.com/en/enterprise-server@3.2/pages/getting-started-with-github-pages/about-github-pages</t>
  </si>
  <si>
    <t xml:space="preserve">C</t>
  </si>
  <si>
    <t xml:space="preserve">Colyseus Cloud</t>
  </si>
  <si>
    <t xml:space="preserve">เซิร์ฟเวอร์เกมเรียลไทม์แบบมีผู้ดูแลให้</t>
  </si>
  <si>
    <t xml:space="preserve">เริ่ม $15/เดือน งบหมดในไม่กี่เดือน · ถ้าโฮสต์ Colyseus เองฟรีแต่ต้องดูแลเซิร์ฟเวอร์เอง</t>
  </si>
  <si>
    <t xml:space="preserve">ไม่แนะนำในงบนี้</t>
  </si>
  <si>
    <t xml:space="preserve">https://www.colyseus.io/pricing</t>
  </si>
  <si>
    <t xml:space="preserve">เครื่องคำนวณงบ (แก้ได้เฉพาะช่องสีน้ำเงินและสีเหลือง)</t>
  </si>
  <si>
    <t xml:space="preserve">งบโปรเจกต์ทั้งหมด (บาท)</t>
  </si>
  <si>
    <t xml:space="preserve">ที่มา: ผู้ใช้ระบุ</t>
  </si>
  <si>
    <t xml:space="preserve">อัตราแลกเปลี่ยน (บาท ต่อ 1 USD)</t>
  </si>
  <si>
    <t xml:space="preserve">สมมติ: แก้เป็นอัตราปัจจุบันก่อนใช้</t>
  </si>
  <si>
    <t xml:space="preserve">ระยะเวลาที่ต้องเปิดใช้งาน (เดือน)</t>
  </si>
  <si>
    <t xml:space="preserve">สมมติ: แก้ตามแผนการสอน</t>
  </si>
  <si>
    <t xml:space="preserve">Colyseus Cloud ราคาเริ่มต้น (USD/เดือน)</t>
  </si>
  <si>
    <t xml:space="preserve">ที่มา: https://www.colyseus.io/pricing</t>
  </si>
  <si>
    <t xml:space="preserve">ค่าโฮสต์ต่อเดือน (บาท)</t>
  </si>
  <si>
    <t xml:space="preserve">ค่าโฮสต์ตลอดระยะเวลา (บาท)</t>
  </si>
  <si>
    <t xml:space="preserve">งบคงเหลือ (บาท)</t>
  </si>
  <si>
    <t xml:space="preserve">งบพอใช้กี่เดือน</t>
  </si>
  <si>
    <t xml:space="preserve">งบคงเหลือติดลบ (สีแดง) = งบไม่พอสำหรับระยะเวลาที่กำหนด งบที่เหลือจากทาง A/B ใช้กับภาพดีไซน์หรือชื่อโดเมนได้</t>
  </si>
  <si>
    <t xml:space="preserve">9 เมืองในเกม: ดัชนีดีมานด์รายเดือนและช่วงฤดูท่องเที่ยว</t>
  </si>
  <si>
    <t xml:space="preserve">ที่มา: ไฟล์เกม v0.2 · ดัชนี 1.00 = ดีมานด์ปกติของเมือง · ส่วนใหญ่เป็นค่าออกแบบ ดูคอลัมน์ "ที่มาของช่วงฤดู"</t>
  </si>
  <si>
    <t xml:space="preserve">เกณฑ์ไฮซีซั่น (ดัชนีขั้นต่ำ)</t>
  </si>
  <si>
    <t xml:space="preserve">เกณฑ์โลว์ซีซั่น (ดัชนีสูงสุด)</t>
  </si>
  <si>
    <t xml:space="preserve">แมพ</t>
  </si>
  <si>
    <t xml:space="preserve">ต่างชาติ</t>
  </si>
  <si>
    <t xml:space="preserve">ม.ค.</t>
  </si>
  <si>
    <t xml:space="preserve">ก.พ.</t>
  </si>
  <si>
    <t xml:space="preserve">มี.ค.</t>
  </si>
  <si>
    <t xml:space="preserve">เม.ย.</t>
  </si>
  <si>
    <t xml:space="preserve">พ.ค.</t>
  </si>
  <si>
    <t xml:space="preserve">มิ.ย.</t>
  </si>
  <si>
    <t xml:space="preserve">ก.ค.</t>
  </si>
  <si>
    <t xml:space="preserve">ส.ค.</t>
  </si>
  <si>
    <t xml:space="preserve">ก.ย.</t>
  </si>
  <si>
    <t xml:space="preserve">ต.ค.</t>
  </si>
  <si>
    <t xml:space="preserve">พ.ย.</t>
  </si>
  <si>
    <t xml:space="preserve">ธ.ค.</t>
  </si>
  <si>
    <t xml:space="preserve">ที่มาของช่วงฤดู</t>
  </si>
  <si>
    <t xml:space="preserve">ฤดูกาลไทย (สสช.)</t>
  </si>
  <si>
    <t xml:space="preserve">หนาว</t>
  </si>
  <si>
    <t xml:space="preserve">หนาว→ร้อน</t>
  </si>
  <si>
    <t xml:space="preserve">ร้อน</t>
  </si>
  <si>
    <t xml:space="preserve">ร้อน→ฝน</t>
  </si>
  <si>
    <t xml:space="preserve">ฝน</t>
  </si>
  <si>
    <t xml:space="preserve">ฝน→หนาว</t>
  </si>
  <si>
    <t xml:space="preserve">สสช. Statistical Yearbook 2023: ร้อน ~กลาง ก.พ.–กลาง พ.ค., ฝน ~กลาง พ.ค.–กลาง ต.ค., ที่เหลือหนาว</t>
  </si>
  <si>
    <t xml:space="preserve">กรุงเทพฯ</t>
  </si>
  <si>
    <t xml:space="preserve">เมืองใหญ่</t>
  </si>
  <si>
    <t xml:space="preserve">ค่าออกแบบโดยประมาณ ควรปรับด้วยสถิติรายเดือน</t>
  </si>
  <si>
    <t xml:space="preserve">ขอนแก่น</t>
  </si>
  <si>
    <t xml:space="preserve">ทะเลและเกาะท่องเที่ยว</t>
  </si>
  <si>
    <t xml:space="preserve">PhuketFerry, Nomadotravel (เว็บท่องเที่ยว)</t>
  </si>
  <si>
    <t xml:space="preserve">พัทยา</t>
  </si>
  <si>
    <t xml:space="preserve">เพชรบุรี</t>
  </si>
  <si>
    <t xml:space="preserve">เมืองรอง</t>
  </si>
  <si>
    <t xml:space="preserve">ราชบุรี</t>
  </si>
  <si>
    <t xml:space="preserve">ระนอง</t>
  </si>
  <si>
    <t xml:space="preserve">ศิลปวัฒนธรรม (นิตยสาร)</t>
  </si>
  <si>
    <t xml:space="preserve">เมืองภูเขา</t>
  </si>
  <si>
    <t xml:space="preserve">เพชรบูรณ์</t>
  </si>
  <si>
    <t xml:space="preserve">ช่วงฤดูท่องเที่ยว (คำนวณจากดัชนีด้านบนและเกณฑ์ในแถว 3)</t>
  </si>
  <si>
    <t xml:space="preserve">เดือนไฮซีซั่น</t>
  </si>
  <si>
    <t xml:space="preserve">ข้อควรระวังของ v0.2</t>
  </si>
  <si>
    <t xml:space="preserve">ที่มา: คำตอบของ Claude 8 ต.ค. 2026</t>
  </si>
  <si>
    <t xml:space="preserve">#</t>
  </si>
  <si>
    <t xml:space="preserve">ประเด็น</t>
  </si>
  <si>
    <t xml:space="preserve">สิ่งที่ควรทำต่อ</t>
  </si>
  <si>
    <t xml:space="preserve">ฤดูท่องเที่ยวรายเมือง</t>
  </si>
  <si>
    <t xml:space="preserve">ภูเก็ตและระนองอิงเว็บท่องเที่ยวและนิตยสาร ส่วนอีก 7 เมืองเป็นค่าประมาณจากการออกแบบ</t>
  </si>
  <si>
    <t xml:space="preserve">ปรับด้วยสถิติรายเดือนของกระทรวงการท่องเที่ยวและกีฬา</t>
  </si>
  <si>
    <t xml:space="preserve">ขนาดผลกระทบของเหตุการณ์</t>
  </si>
  <si>
    <t xml:space="preserve">ทุกค่าเป็นค่าออกแบบเพื่อการเรียนรู้ ไม่ได้ประมาณจากข้อมูลจริง</t>
  </si>
  <si>
    <t xml:space="preserve">ทดสอบกับผู้เล่นจริงแล้วปรับให้สมดุล</t>
  </si>
  <si>
    <t xml:space="preserve">วันเทศกาล</t>
  </si>
  <si>
    <t xml:space="preserve">วันลอยกระทงและตรุษจีนในเกมใช้วันโดยประมาณ</t>
  </si>
  <si>
    <t xml:space="preserve">ถ้าจะใช้ปีจริง ให้ใส่วันที่ของปีนั้น</t>
  </si>
  <si>
    <t xml:space="preserve">ทางโฮสติ้ง A</t>
  </si>
  <si>
    <t xml:space="preserve">ผู้เล่นต้องอยู่ในองค์กรเดียวกันหรือได้รับเชิญเป็นแขก ข้อจำกัดยังไม่ได้ทดสอบกับผู้เล่นหลายคน</t>
  </si>
  <si>
    <t xml:space="preserve">ทดลองนำร่องกับกลุ่มเล็กก่อนใช้จริง</t>
  </si>
  <si>
    <t xml:space="preserve">แหล่งอ้างอิงที่ใช้ในคำตอบล่าสุด</t>
  </si>
  <si>
    <t xml:space="preserve">ระดับความน่าเชื่อถือระบุในคอลัมน์ขวาสุด</t>
  </si>
  <si>
    <t xml:space="preserve">แหล่ง</t>
  </si>
  <si>
    <t xml:space="preserve">ใช้ในข้อ</t>
  </si>
  <si>
    <t xml:space="preserve">ลิงก์</t>
  </si>
  <si>
    <t xml:space="preserve">ประเภทและข้อจำกัด</t>
  </si>
  <si>
    <t xml:space="preserve">EHL Insights: Hotel industry performance</t>
  </si>
  <si>
    <t xml:space="preserve">1 (ชื่อเต็ม MPI, ARI)</t>
  </si>
  <si>
    <t xml:space="preserve">https://insights.ehl.edu/hotel-industry-performance</t>
  </si>
  <si>
    <t xml:space="preserve">บทความจากสถาบันการศึกษาด้านการโรงแรม ไม่ใช่งาน peer-reviewed</t>
  </si>
  <si>
    <t xml:space="preserve">สสช. Statistical Yearbook Thailand 2023</t>
  </si>
  <si>
    <t xml:space="preserve">3 (ฤดูกาลไทย)</t>
  </si>
  <si>
    <t xml:space="preserve">https://www.nso.go.th/public/e-book/Statistical-Yearbook/SYB-2023/621/</t>
  </si>
  <si>
    <t xml:space="preserve">แหล่งทางการ</t>
  </si>
  <si>
    <t xml:space="preserve">PhuketFerry: สภาพอากาศภูเก็ต</t>
  </si>
  <si>
    <t xml:space="preserve">3 (ฤดูฝนภูเก็ต)</t>
  </si>
  <si>
    <t xml:space="preserve">https://www.phuketferry.com/th/the-weather-and-climate-of-phuket.html</t>
  </si>
  <si>
    <t xml:space="preserve">เว็บท่องเที่ยว</t>
  </si>
  <si>
    <t xml:space="preserve">Nomadotravel: ช่วงเวลาที่ดีที่สุดในการไปภูเก็ต</t>
  </si>
  <si>
    <t xml:space="preserve">3 (ช่วง พ.ย.–เม.ย.)</t>
  </si>
  <si>
    <t xml:space="preserve">https://www.nomadotravel.app/th/guides/best-time-to-visit-phuket</t>
  </si>
  <si>
    <t xml:space="preserve">เว็บท่องเที่ยว มีลิงก์พันธมิตรเชิงพาณิชย์</t>
  </si>
  <si>
    <t xml:space="preserve">ศิลปวัฒนธรรม: ระนอง ฝนแปดแดดสี่</t>
  </si>
  <si>
    <t xml:space="preserve">3 (ฤดูฝนระนอง)</t>
  </si>
  <si>
    <t xml:space="preserve">https://www.silpa-mag.com/history/article_159902</t>
  </si>
  <si>
    <t xml:space="preserve">นิตยสาร</t>
  </si>
  <si>
    <t xml:space="preserve">Natural Earth</t>
  </si>
  <si>
    <t xml:space="preserve">4 (แผนที่)</t>
  </si>
  <si>
    <t xml:space="preserve">https://github.com/nvkelso/natural-earth-vector</t>
  </si>
  <si>
    <t xml:space="preserve">ข้อมูลสาธารณสมบัติ</t>
  </si>
  <si>
    <t xml:space="preserve">Litvin, Goldsmith &amp; Pan (2008) Tourism Management 29(3), 458–468</t>
  </si>
  <si>
    <t xml:space="preserve">5 (eWOM)</t>
  </si>
  <si>
    <t xml:space="preserve">https://pure.psu.edu/en/publications/electronic-word-of-mouth-in-hospitality-and-tourism-management/</t>
  </si>
  <si>
    <t xml:space="preserve">บทความ peer-reviewed</t>
  </si>
  <si>
    <t xml:space="preserve">SERVQUAL (Wikipedia)</t>
  </si>
  <si>
    <t xml:space="preserve">5, 6 (ช่องว่างความคาดหวัง)</t>
  </si>
  <si>
    <t xml:space="preserve">https://en.wikipedia.org/wiki/SERVQUAL</t>
  </si>
  <si>
    <t xml:space="preserve">สารานุกรม ควรอ้างต้นฉบับ Parasuraman et al. (1988) ในงานวิชาการ</t>
  </si>
  <si>
    <t xml:space="preserve">Faulkner (2001): นิยามวิกฤตและภัยพิบัติ (ผ่านบททบทวนวรรณกรรม)</t>
  </si>
  <si>
    <t xml:space="preserve">9 (การแบ่งหมวด)</t>
  </si>
  <si>
    <t xml:space="preserve">https://1library.net/article/key-terms-discussion-assessment-literature.yexrev0q</t>
  </si>
  <si>
    <t xml:space="preserve">แหล่งทุติยภูมิ ควรอ้างต้นฉบับ Tourism Management 22, 135–147</t>
  </si>
  <si>
    <t xml:space="preserve">CAUTHE 2011: ระยะของภัยพิบัติตาม Faulkner และ Ritchie</t>
  </si>
  <si>
    <t xml:space="preserve">9 (ระยะฉุกเฉินถึงฟื้นตัว)</t>
  </si>
  <si>
    <t xml:space="preserve">https://dspace.angliss.edu.au/handle/20.500.12270/350</t>
  </si>
  <si>
    <t xml:space="preserve">เอกสารประชุมวิชาการ</t>
  </si>
  <si>
    <t xml:space="preserve">ปฏิทินเทศกาลภูเก็ต (byklo)</t>
  </si>
  <si>
    <t xml:space="preserve">9 (วันเทศกาล)</t>
  </si>
  <si>
    <t xml:space="preserve">https://www.byklo.rent/th/blog/when-to-visit-phuket-weather/</t>
  </si>
  <si>
    <t xml:space="preserve">เว็บธุรกิจเช่ารถ</t>
  </si>
  <si>
    <t xml:space="preserve">Supabase Pricing</t>
  </si>
  <si>
    <t xml:space="preserve">12 (แพ็กฟรี)</t>
  </si>
  <si>
    <t xml:space="preserve">https://supabase.com/pricing</t>
  </si>
  <si>
    <t xml:space="preserve">แหล่งทางการ ราคาเปลี่ยนได้</t>
  </si>
  <si>
    <t xml:space="preserve">GitHub Docs: About GitHub Pages</t>
  </si>
  <si>
    <t xml:space="preserve">12 (ข้อจำกัด)</t>
  </si>
  <si>
    <t xml:space="preserve">https://docs.github.com/en/enterprise-server@3.2/pages/getting-started-with-github-pages/about-github-pages</t>
  </si>
  <si>
    <t xml:space="preserve">แหล่งทางการ (หน้าเอกสารเวอร์ชัน Enterprise Server)</t>
  </si>
  <si>
    <t xml:space="preserve">Colyseus Pricing</t>
  </si>
  <si>
    <t xml:space="preserve">12 (ราคา)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</si>
</sst>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"/>
    <numFmt numFmtId="167" formatCode="0%"/>
    <numFmt numFmtId="168" formatCode="0"/>
    <numFmt numFmtId="169" formatCode="0.00"/>
    <numFmt numFmtId="170" formatCode="d\ mmm\ yyyy"/>
    <numFmt numFmtId="171" formatCode="\$#,##0;&quot;($&quot;#,##0\);\-"/>
    <numFmt numFmtId="172" formatCode="#,##0"/>
    <numFmt numFmtId="173" formatCode="\$#,##0"/>
    <numFmt numFmtId="174" formatCode="#,##0;\(#,##0\);\-"/>
    <numFmt numFmtId="175" formatCode="#,##0;[RED]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D2B3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5666E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1F5FA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Free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F7A65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DCEAE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CCE"/>
      </left>
      <right style="thin">
        <color rgb="FFB9CCCE"/>
      </right>
      <top style="thin">
        <color rgb="FFB9CCCE"/>
      </top>
      <bottom style="thin">
        <color rgb="FFB9CC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7A6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2774E"/>
        </patternFill>
      </fill>
    </dxf>
    <dxf>
      <font>
        <name val="Arial"/>
        <charset val="1"/>
        <family val="0"/>
        <color rgb="FFFFFFFF"/>
      </font>
      <fill>
        <patternFill>
          <bgColor rgb="FF7FA7C9"/>
        </patternFill>
      </fill>
    </dxf>
    <dxf>
      <fill>
        <patternFill>
          <bgColor rgb="FFE8C25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5"/>
      <rgbColor rgb="FFB9CCCE"/>
      <rgbColor rgb="FF808080"/>
      <rgbColor rgb="FF9999FF"/>
      <rgbColor rgb="FF993366"/>
      <rgbColor rgb="FFFFFFCC"/>
      <rgbColor rgb="FFDCEAEB"/>
      <rgbColor rgb="FF660066"/>
      <rgbColor rgb="FFE2774E"/>
      <rgbColor rgb="FF1F5FA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25A"/>
      <rgbColor rgb="FF3366FF"/>
      <rgbColor rgb="FF33CCCC"/>
      <rgbColor rgb="FF99CC00"/>
      <rgbColor rgb="FFFFCC00"/>
      <rgbColor rgb="FFFF9900"/>
      <rgbColor rgb="FFFF6600"/>
      <rgbColor rgb="FF55666E"/>
      <rgbColor rgb="FF7FA7C9"/>
      <rgbColor rgb="FF003366"/>
      <rgbColor rgb="FF339966"/>
      <rgbColor rgb="FF003300"/>
      <rgbColor rgb="FF333300"/>
      <rgbColor rgb="FF993300"/>
      <rgbColor rgb="FF993366"/>
      <rgbColor rgb="FF333399"/>
      <rgbColor rgb="FF1D2B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3JrHfhT2sVswMpyDUAMkjs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insights.ehl.edu/hotel-industry-performance" TargetMode="External"/><Relationship Id="rId2" Type="http://schemas.openxmlformats.org/officeDocument/2006/relationships/hyperlink" Target="https://www.nso.go.th/public/e-book/Statistical-Yearbook/SYB-2023/621/" TargetMode="External"/><Relationship Id="rId3" Type="http://schemas.openxmlformats.org/officeDocument/2006/relationships/hyperlink" Target="https://www.phuketferry.com/th/the-weather-and-climate-of-phuket.html" TargetMode="External"/><Relationship Id="rId4" Type="http://schemas.openxmlformats.org/officeDocument/2006/relationships/hyperlink" Target="https://www.nomadotravel.app/th/guides/best-time-to-visit-phuket" TargetMode="External"/><Relationship Id="rId5" Type="http://schemas.openxmlformats.org/officeDocument/2006/relationships/hyperlink" Target="https://www.silpa-mag.com/history/article_159902" TargetMode="External"/><Relationship Id="rId6" Type="http://schemas.openxmlformats.org/officeDocument/2006/relationships/hyperlink" Target="https://github.com/nvkelso/natural-earth-vector" TargetMode="External"/><Relationship Id="rId7" Type="http://schemas.openxmlformats.org/officeDocument/2006/relationships/hyperlink" Target="https://pure.psu.edu/en/publications/electronic-word-of-mouth-in-hospitality-and-tourism-management/" TargetMode="External"/><Relationship Id="rId8" Type="http://schemas.openxmlformats.org/officeDocument/2006/relationships/hyperlink" Target="https://en.wikipedia.org/wiki/SERVQUAL" TargetMode="External"/><Relationship Id="rId9" Type="http://schemas.openxmlformats.org/officeDocument/2006/relationships/hyperlink" Target="https://1library.net/article/key-terms-discussion-assessment-literature.yexrev0q" TargetMode="External"/><Relationship Id="rId10" Type="http://schemas.openxmlformats.org/officeDocument/2006/relationships/hyperlink" Target="https://dspace.angliss.edu.au/handle/20.500.12270/350" TargetMode="External"/><Relationship Id="rId11" Type="http://schemas.openxmlformats.org/officeDocument/2006/relationships/hyperlink" Target="https://www.byklo.rent/th/blog/when-to-visit-phuket-weather/" TargetMode="External"/><Relationship Id="rId12" Type="http://schemas.openxmlformats.org/officeDocument/2006/relationships/hyperlink" Target="https://supabase.com/pricing" TargetMode="External"/><Relationship Id="rId13" Type="http://schemas.openxmlformats.org/officeDocument/2006/relationships/hyperlink" Target="https://docs.github.com/en/enterprise-server@3.2/pages/getting-started-with-github-pages/about-github-pages" TargetMode="External"/><Relationship Id="rId14" Type="http://schemas.openxmlformats.org/officeDocument/2006/relationships/hyperlink" Target="https://www.colyseus.io/pric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6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7.1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4" t="s">
        <v>2</v>
      </c>
      <c r="B3" s="5" t="s">
        <v>3</v>
      </c>
      <c r="C3" s="2"/>
      <c r="D3" s="2"/>
      <c r="E3" s="2"/>
      <c r="F3" s="2"/>
    </row>
    <row r="4" customFormat="false" ht="15" hidden="false" customHeight="false" outlineLevel="0" collapsed="false">
      <c r="A4" s="3" t="s">
        <v>4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</row>
    <row r="7" customFormat="false" ht="23.85" hidden="false" customHeight="false" outlineLevel="0" collapsed="false">
      <c r="A7" s="7" t="n">
        <v>1</v>
      </c>
      <c r="B7" s="8" t="s">
        <v>11</v>
      </c>
      <c r="C7" s="8" t="s">
        <v>12</v>
      </c>
      <c r="D7" s="8" t="s">
        <v>13</v>
      </c>
      <c r="E7" s="9" t="s">
        <v>14</v>
      </c>
      <c r="F7" s="8" t="s">
        <v>15</v>
      </c>
    </row>
    <row r="8" customFormat="false" ht="23.85" hidden="false" customHeight="false" outlineLevel="0" collapsed="false">
      <c r="A8" s="7" t="n">
        <v>2</v>
      </c>
      <c r="B8" s="8" t="s">
        <v>16</v>
      </c>
      <c r="C8" s="8" t="s">
        <v>17</v>
      </c>
      <c r="D8" s="8" t="s">
        <v>18</v>
      </c>
      <c r="E8" s="9" t="s">
        <v>14</v>
      </c>
      <c r="F8" s="8" t="s">
        <v>19</v>
      </c>
    </row>
    <row r="9" customFormat="false" ht="35.05" hidden="false" customHeight="false" outlineLevel="0" collapsed="false">
      <c r="A9" s="7" t="n">
        <v>3</v>
      </c>
      <c r="B9" s="8" t="s">
        <v>20</v>
      </c>
      <c r="C9" s="8" t="s">
        <v>21</v>
      </c>
      <c r="D9" s="8" t="s">
        <v>18</v>
      </c>
      <c r="E9" s="9" t="s">
        <v>14</v>
      </c>
      <c r="F9" s="8" t="s">
        <v>22</v>
      </c>
    </row>
    <row r="10" customFormat="false" ht="23.85" hidden="false" customHeight="false" outlineLevel="0" collapsed="false">
      <c r="A10" s="7" t="n">
        <v>4</v>
      </c>
      <c r="B10" s="8" t="s">
        <v>23</v>
      </c>
      <c r="C10" s="8" t="s">
        <v>24</v>
      </c>
      <c r="D10" s="8" t="s">
        <v>25</v>
      </c>
      <c r="E10" s="9" t="s">
        <v>14</v>
      </c>
      <c r="F10" s="8" t="s">
        <v>26</v>
      </c>
    </row>
    <row r="11" customFormat="false" ht="23.85" hidden="false" customHeight="false" outlineLevel="0" collapsed="false">
      <c r="A11" s="7" t="n">
        <v>5</v>
      </c>
      <c r="B11" s="8" t="s">
        <v>27</v>
      </c>
      <c r="C11" s="8" t="s">
        <v>28</v>
      </c>
      <c r="D11" s="8" t="s">
        <v>29</v>
      </c>
      <c r="E11" s="9" t="s">
        <v>14</v>
      </c>
      <c r="F11" s="8" t="s">
        <v>30</v>
      </c>
    </row>
    <row r="12" customFormat="false" ht="23.85" hidden="false" customHeight="false" outlineLevel="0" collapsed="false">
      <c r="A12" s="7" t="n">
        <v>6</v>
      </c>
      <c r="B12" s="8" t="s">
        <v>31</v>
      </c>
      <c r="C12" s="8" t="s">
        <v>32</v>
      </c>
      <c r="D12" s="8" t="s">
        <v>33</v>
      </c>
      <c r="E12" s="9" t="s">
        <v>14</v>
      </c>
      <c r="F12" s="8" t="s">
        <v>34</v>
      </c>
    </row>
    <row r="13" customFormat="false" ht="15" hidden="false" customHeight="false" outlineLevel="0" collapsed="false">
      <c r="A13" s="7" t="n">
        <v>7</v>
      </c>
      <c r="B13" s="8" t="s">
        <v>35</v>
      </c>
      <c r="C13" s="8" t="s">
        <v>36</v>
      </c>
      <c r="D13" s="8" t="s">
        <v>37</v>
      </c>
      <c r="E13" s="9" t="s">
        <v>14</v>
      </c>
      <c r="F13" s="8" t="s">
        <v>19</v>
      </c>
    </row>
    <row r="14" customFormat="false" ht="15" hidden="false" customHeight="false" outlineLevel="0" collapsed="false">
      <c r="A14" s="7" t="n">
        <v>8</v>
      </c>
      <c r="B14" s="8" t="s">
        <v>38</v>
      </c>
      <c r="C14" s="8" t="s">
        <v>39</v>
      </c>
      <c r="D14" s="8" t="s">
        <v>37</v>
      </c>
      <c r="E14" s="9" t="s">
        <v>14</v>
      </c>
      <c r="F14" s="8" t="s">
        <v>19</v>
      </c>
    </row>
    <row r="15" customFormat="false" ht="35.05" hidden="false" customHeight="false" outlineLevel="0" collapsed="false">
      <c r="A15" s="7" t="n">
        <v>9</v>
      </c>
      <c r="B15" s="8" t="s">
        <v>40</v>
      </c>
      <c r="C15" s="8" t="s">
        <v>41</v>
      </c>
      <c r="D15" s="8" t="s">
        <v>42</v>
      </c>
      <c r="E15" s="9" t="s">
        <v>14</v>
      </c>
      <c r="F15" s="8" t="s">
        <v>43</v>
      </c>
    </row>
    <row r="16" customFormat="false" ht="23.85" hidden="false" customHeight="false" outlineLevel="0" collapsed="false">
      <c r="A16" s="7" t="n">
        <v>10</v>
      </c>
      <c r="B16" s="8" t="s">
        <v>44</v>
      </c>
      <c r="C16" s="8" t="s">
        <v>45</v>
      </c>
      <c r="D16" s="8" t="s">
        <v>46</v>
      </c>
      <c r="E16" s="9" t="s">
        <v>14</v>
      </c>
      <c r="F16" s="8" t="s">
        <v>19</v>
      </c>
    </row>
    <row r="17" customFormat="false" ht="15" hidden="false" customHeight="false" outlineLevel="0" collapsed="false">
      <c r="A17" s="7" t="n">
        <v>11</v>
      </c>
      <c r="B17" s="8" t="s">
        <v>47</v>
      </c>
      <c r="C17" s="8" t="s">
        <v>48</v>
      </c>
      <c r="D17" s="8" t="s">
        <v>49</v>
      </c>
      <c r="E17" s="9" t="s">
        <v>50</v>
      </c>
      <c r="F17" s="8" t="s">
        <v>19</v>
      </c>
    </row>
    <row r="18" customFormat="false" ht="35.05" hidden="false" customHeight="false" outlineLevel="0" collapsed="false">
      <c r="A18" s="7" t="n">
        <v>12</v>
      </c>
      <c r="B18" s="8" t="s">
        <v>51</v>
      </c>
      <c r="C18" s="8" t="s">
        <v>52</v>
      </c>
      <c r="D18" s="8" t="s">
        <v>19</v>
      </c>
      <c r="E18" s="9" t="s">
        <v>53</v>
      </c>
      <c r="F18" s="8" t="s">
        <v>54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</row>
    <row r="20" customFormat="false" ht="15" hidden="false" customHeight="false" outlineLevel="0" collapsed="false">
      <c r="A20" s="4" t="s">
        <v>55</v>
      </c>
      <c r="B20" s="2"/>
      <c r="C20" s="2"/>
      <c r="D20" s="2"/>
      <c r="E20" s="2"/>
      <c r="F20" s="2"/>
    </row>
    <row r="21" customFormat="false" ht="15" hidden="false" customHeight="false" outlineLevel="0" collapsed="false">
      <c r="A21" s="2"/>
      <c r="B21" s="8" t="s">
        <v>14</v>
      </c>
      <c r="C21" s="7" t="n">
        <f aca="false">COUNTIF($E$7:$E$18,B21)</f>
        <v>10</v>
      </c>
      <c r="D21" s="2"/>
      <c r="E21" s="2"/>
      <c r="F21" s="2"/>
    </row>
    <row r="22" customFormat="false" ht="15" hidden="false" customHeight="false" outlineLevel="0" collapsed="false">
      <c r="A22" s="2"/>
      <c r="B22" s="8" t="s">
        <v>56</v>
      </c>
      <c r="C22" s="7" t="n">
        <f aca="false">COUNTIF($E$7:$E$18,B22)</f>
        <v>0</v>
      </c>
      <c r="D22" s="2"/>
      <c r="E22" s="2"/>
      <c r="F22" s="2"/>
    </row>
    <row r="23" customFormat="false" ht="15" hidden="false" customHeight="false" outlineLevel="0" collapsed="false">
      <c r="A23" s="2"/>
      <c r="B23" s="8" t="s">
        <v>50</v>
      </c>
      <c r="C23" s="7" t="n">
        <f aca="false">COUNTIF($E$7:$E$18,B23)</f>
        <v>1</v>
      </c>
      <c r="D23" s="2"/>
      <c r="E23" s="2"/>
      <c r="F23" s="2"/>
    </row>
    <row r="24" customFormat="false" ht="15" hidden="false" customHeight="false" outlineLevel="0" collapsed="false">
      <c r="A24" s="2"/>
      <c r="B24" s="8" t="s">
        <v>53</v>
      </c>
      <c r="C24" s="7" t="n">
        <f aca="false">COUNTIF($E$7:$E$18,B24)</f>
        <v>1</v>
      </c>
      <c r="D24" s="2"/>
      <c r="E24" s="2"/>
      <c r="F24" s="2"/>
    </row>
    <row r="25" customFormat="false" ht="15" hidden="false" customHeight="false" outlineLevel="0" collapsed="false">
      <c r="A25" s="2"/>
      <c r="B25" s="8" t="s">
        <v>57</v>
      </c>
      <c r="C25" s="7" t="n">
        <f aca="false">COUNTIF($E$7:$E$18,B25)</f>
        <v>0</v>
      </c>
      <c r="D25" s="2"/>
      <c r="E25" s="2"/>
      <c r="F25" s="2"/>
    </row>
    <row r="26" customFormat="false" ht="15" hidden="false" customHeight="false" outlineLevel="0" collapsed="false">
      <c r="A26" s="2"/>
      <c r="B26" s="10" t="s">
        <v>58</v>
      </c>
      <c r="C26" s="11" t="n">
        <f aca="false">SUM(C21:C25)</f>
        <v>12</v>
      </c>
      <c r="D26" s="2"/>
      <c r="E26" s="2"/>
      <c r="F26" s="2"/>
    </row>
  </sheetData>
  <dataValidations count="1">
    <dataValidation allowBlank="true" errorStyle="stop" operator="between" showDropDown="false" showErrorMessage="false" showInputMessage="false" sqref="E7:E18" type="list">
      <formula1>"เสร็จแล้ว,กำลังทำ,รอภาพจากผู้ใช้,รอเลือกทาง,ยังไม่เริ่ม"</formula1>
      <formula2>0</formula2>
    </dataValidation>
  </dataValidations>
  <hyperlinks>
    <hyperlink ref="B3" r:id="rId1" display="https://claude.ai/artifact/3JrHfhT2sVswMpyDUAMkj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36"/>
    <col collapsed="false" customWidth="true" hidden="false" outlineLevel="0" max="11" min="11" style="0" width="12"/>
  </cols>
  <sheetData>
    <row r="1" customFormat="false" ht="17.15" hidden="false" customHeight="false" outlineLevel="0" collapsed="false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3.85" hidden="false" customHeight="false" outlineLevel="0" collapsed="false">
      <c r="A4" s="6" t="s">
        <v>61</v>
      </c>
      <c r="B4" s="6" t="s">
        <v>62</v>
      </c>
      <c r="C4" s="6" t="s">
        <v>63</v>
      </c>
      <c r="D4" s="6" t="s">
        <v>64</v>
      </c>
      <c r="E4" s="6" t="s">
        <v>65</v>
      </c>
      <c r="F4" s="6" t="s">
        <v>66</v>
      </c>
      <c r="G4" s="6" t="s">
        <v>67</v>
      </c>
      <c r="H4" s="6" t="s">
        <v>68</v>
      </c>
      <c r="I4" s="6" t="s">
        <v>69</v>
      </c>
      <c r="J4" s="6" t="s">
        <v>70</v>
      </c>
      <c r="K4" s="6" t="s">
        <v>71</v>
      </c>
    </row>
    <row r="5" customFormat="false" ht="23.85" hidden="false" customHeight="false" outlineLevel="0" collapsed="false">
      <c r="A5" s="8" t="s">
        <v>72</v>
      </c>
      <c r="B5" s="8" t="s">
        <v>73</v>
      </c>
      <c r="C5" s="7" t="s">
        <v>74</v>
      </c>
      <c r="D5" s="7" t="s">
        <v>75</v>
      </c>
      <c r="E5" s="8" t="s">
        <v>76</v>
      </c>
      <c r="F5" s="8" t="s">
        <v>77</v>
      </c>
      <c r="G5" s="8" t="s">
        <v>78</v>
      </c>
      <c r="H5" s="7" t="s">
        <v>79</v>
      </c>
      <c r="I5" s="8" t="s">
        <v>80</v>
      </c>
      <c r="J5" s="8" t="s">
        <v>81</v>
      </c>
      <c r="K5" s="12" t="n">
        <v>1</v>
      </c>
    </row>
    <row r="6" customFormat="false" ht="15" hidden="false" customHeight="false" outlineLevel="0" collapsed="false">
      <c r="A6" s="8" t="s">
        <v>82</v>
      </c>
      <c r="B6" s="8" t="s">
        <v>73</v>
      </c>
      <c r="C6" s="7" t="s">
        <v>74</v>
      </c>
      <c r="D6" s="7" t="s">
        <v>75</v>
      </c>
      <c r="E6" s="8" t="s">
        <v>83</v>
      </c>
      <c r="F6" s="8" t="s">
        <v>84</v>
      </c>
      <c r="G6" s="8" t="s">
        <v>78</v>
      </c>
      <c r="H6" s="7" t="s">
        <v>85</v>
      </c>
      <c r="I6" s="8" t="s">
        <v>80</v>
      </c>
      <c r="J6" s="8" t="s">
        <v>86</v>
      </c>
      <c r="K6" s="12" t="n">
        <v>0.6</v>
      </c>
    </row>
    <row r="7" customFormat="false" ht="35.05" hidden="false" customHeight="false" outlineLevel="0" collapsed="false">
      <c r="A7" s="8" t="s">
        <v>87</v>
      </c>
      <c r="B7" s="8" t="s">
        <v>73</v>
      </c>
      <c r="C7" s="7" t="s">
        <v>88</v>
      </c>
      <c r="D7" s="7" t="s">
        <v>75</v>
      </c>
      <c r="E7" s="8" t="s">
        <v>89</v>
      </c>
      <c r="F7" s="8" t="s">
        <v>90</v>
      </c>
      <c r="G7" s="8" t="s">
        <v>91</v>
      </c>
      <c r="H7" s="7" t="s">
        <v>79</v>
      </c>
      <c r="I7" s="8" t="s">
        <v>80</v>
      </c>
      <c r="J7" s="8" t="s">
        <v>92</v>
      </c>
      <c r="K7" s="12" t="n">
        <v>2</v>
      </c>
    </row>
    <row r="8" customFormat="false" ht="23.85" hidden="false" customHeight="false" outlineLevel="0" collapsed="false">
      <c r="A8" s="8" t="s">
        <v>93</v>
      </c>
      <c r="B8" s="8" t="s">
        <v>73</v>
      </c>
      <c r="C8" s="7" t="s">
        <v>94</v>
      </c>
      <c r="D8" s="7" t="s">
        <v>75</v>
      </c>
      <c r="E8" s="8" t="s">
        <v>95</v>
      </c>
      <c r="F8" s="8" t="s">
        <v>96</v>
      </c>
      <c r="G8" s="8" t="s">
        <v>97</v>
      </c>
      <c r="H8" s="7" t="s">
        <v>98</v>
      </c>
      <c r="I8" s="8" t="s">
        <v>99</v>
      </c>
      <c r="J8" s="8" t="s">
        <v>100</v>
      </c>
      <c r="K8" s="12" t="n">
        <v>3</v>
      </c>
    </row>
    <row r="9" customFormat="false" ht="23.85" hidden="false" customHeight="false" outlineLevel="0" collapsed="false">
      <c r="A9" s="8" t="s">
        <v>101</v>
      </c>
      <c r="B9" s="8" t="s">
        <v>73</v>
      </c>
      <c r="C9" s="7" t="s">
        <v>74</v>
      </c>
      <c r="D9" s="7" t="s">
        <v>75</v>
      </c>
      <c r="E9" s="8" t="s">
        <v>102</v>
      </c>
      <c r="F9" s="8" t="s">
        <v>96</v>
      </c>
      <c r="G9" s="8" t="s">
        <v>78</v>
      </c>
      <c r="H9" s="7" t="s">
        <v>103</v>
      </c>
      <c r="I9" s="8" t="s">
        <v>80</v>
      </c>
      <c r="J9" s="8" t="s">
        <v>104</v>
      </c>
      <c r="K9" s="12" t="n">
        <v>0.5</v>
      </c>
    </row>
    <row r="10" customFormat="false" ht="23.85" hidden="false" customHeight="false" outlineLevel="0" collapsed="false">
      <c r="A10" s="8" t="s">
        <v>105</v>
      </c>
      <c r="B10" s="8" t="s">
        <v>73</v>
      </c>
      <c r="C10" s="7" t="s">
        <v>94</v>
      </c>
      <c r="D10" s="7" t="s">
        <v>75</v>
      </c>
      <c r="E10" s="8" t="s">
        <v>106</v>
      </c>
      <c r="F10" s="8" t="s">
        <v>107</v>
      </c>
      <c r="G10" s="8" t="s">
        <v>108</v>
      </c>
      <c r="H10" s="7" t="s">
        <v>109</v>
      </c>
      <c r="I10" s="8" t="s">
        <v>80</v>
      </c>
      <c r="J10" s="8" t="s">
        <v>110</v>
      </c>
      <c r="K10" s="12" t="n">
        <v>2</v>
      </c>
    </row>
    <row r="11" customFormat="false" ht="15" hidden="false" customHeight="false" outlineLevel="0" collapsed="false">
      <c r="A11" s="8" t="s">
        <v>111</v>
      </c>
      <c r="B11" s="8" t="s">
        <v>73</v>
      </c>
      <c r="C11" s="7" t="s">
        <v>88</v>
      </c>
      <c r="D11" s="7" t="s">
        <v>75</v>
      </c>
      <c r="E11" s="8" t="s">
        <v>112</v>
      </c>
      <c r="F11" s="8" t="s">
        <v>96</v>
      </c>
      <c r="G11" s="8" t="s">
        <v>78</v>
      </c>
      <c r="H11" s="7" t="s">
        <v>85</v>
      </c>
      <c r="I11" s="8" t="s">
        <v>80</v>
      </c>
      <c r="J11" s="8" t="s">
        <v>113</v>
      </c>
      <c r="K11" s="12" t="n">
        <v>1.5</v>
      </c>
    </row>
    <row r="12" customFormat="false" ht="15" hidden="false" customHeight="false" outlineLevel="0" collapsed="false">
      <c r="A12" s="8" t="s">
        <v>114</v>
      </c>
      <c r="B12" s="8" t="s">
        <v>73</v>
      </c>
      <c r="C12" s="7" t="s">
        <v>94</v>
      </c>
      <c r="D12" s="7" t="s">
        <v>75</v>
      </c>
      <c r="E12" s="8" t="s">
        <v>115</v>
      </c>
      <c r="F12" s="8" t="s">
        <v>96</v>
      </c>
      <c r="G12" s="8" t="s">
        <v>78</v>
      </c>
      <c r="H12" s="7" t="s">
        <v>116</v>
      </c>
      <c r="I12" s="8" t="s">
        <v>80</v>
      </c>
      <c r="J12" s="8" t="s">
        <v>117</v>
      </c>
      <c r="K12" s="12" t="n">
        <v>1.5</v>
      </c>
    </row>
    <row r="13" customFormat="false" ht="15" hidden="false" customHeight="false" outlineLevel="0" collapsed="false">
      <c r="A13" s="8" t="s">
        <v>118</v>
      </c>
      <c r="B13" s="8" t="s">
        <v>73</v>
      </c>
      <c r="C13" s="7" t="s">
        <v>94</v>
      </c>
      <c r="D13" s="7" t="s">
        <v>119</v>
      </c>
      <c r="E13" s="8" t="s">
        <v>120</v>
      </c>
      <c r="F13" s="8" t="s">
        <v>96</v>
      </c>
      <c r="G13" s="8" t="s">
        <v>78</v>
      </c>
      <c r="H13" s="7" t="s">
        <v>116</v>
      </c>
      <c r="I13" s="8" t="s">
        <v>80</v>
      </c>
      <c r="J13" s="8" t="s">
        <v>121</v>
      </c>
      <c r="K13" s="12" t="n">
        <v>1.5</v>
      </c>
    </row>
    <row r="14" customFormat="false" ht="15" hidden="false" customHeight="false" outlineLevel="0" collapsed="false">
      <c r="A14" s="8" t="s">
        <v>122</v>
      </c>
      <c r="B14" s="8" t="s">
        <v>73</v>
      </c>
      <c r="C14" s="7" t="s">
        <v>94</v>
      </c>
      <c r="D14" s="7" t="s">
        <v>75</v>
      </c>
      <c r="E14" s="8" t="s">
        <v>123</v>
      </c>
      <c r="F14" s="8" t="s">
        <v>96</v>
      </c>
      <c r="G14" s="8" t="s">
        <v>78</v>
      </c>
      <c r="H14" s="7" t="s">
        <v>116</v>
      </c>
      <c r="I14" s="8" t="s">
        <v>80</v>
      </c>
      <c r="J14" s="8" t="s">
        <v>124</v>
      </c>
      <c r="K14" s="12" t="n">
        <v>2</v>
      </c>
    </row>
    <row r="15" customFormat="false" ht="15" hidden="false" customHeight="false" outlineLevel="0" collapsed="false">
      <c r="A15" s="8" t="s">
        <v>125</v>
      </c>
      <c r="B15" s="8" t="s">
        <v>126</v>
      </c>
      <c r="C15" s="7" t="s">
        <v>88</v>
      </c>
      <c r="D15" s="7" t="s">
        <v>75</v>
      </c>
      <c r="E15" s="8" t="s">
        <v>127</v>
      </c>
      <c r="F15" s="8" t="s">
        <v>96</v>
      </c>
      <c r="G15" s="8" t="s">
        <v>78</v>
      </c>
      <c r="H15" s="7" t="s">
        <v>79</v>
      </c>
      <c r="I15" s="8" t="s">
        <v>80</v>
      </c>
      <c r="J15" s="8" t="s">
        <v>128</v>
      </c>
      <c r="K15" s="12" t="n">
        <v>1</v>
      </c>
    </row>
    <row r="16" customFormat="false" ht="23.85" hidden="false" customHeight="false" outlineLevel="0" collapsed="false">
      <c r="A16" s="8" t="s">
        <v>129</v>
      </c>
      <c r="B16" s="8" t="s">
        <v>126</v>
      </c>
      <c r="C16" s="7" t="s">
        <v>88</v>
      </c>
      <c r="D16" s="7" t="s">
        <v>75</v>
      </c>
      <c r="E16" s="8" t="s">
        <v>130</v>
      </c>
      <c r="F16" s="8" t="s">
        <v>96</v>
      </c>
      <c r="G16" s="8" t="s">
        <v>78</v>
      </c>
      <c r="H16" s="7" t="s">
        <v>131</v>
      </c>
      <c r="I16" s="8" t="s">
        <v>80</v>
      </c>
      <c r="J16" s="8" t="s">
        <v>132</v>
      </c>
      <c r="K16" s="12" t="n">
        <v>0.6</v>
      </c>
    </row>
    <row r="17" customFormat="false" ht="15" hidden="false" customHeight="false" outlineLevel="0" collapsed="false">
      <c r="A17" s="8" t="s">
        <v>133</v>
      </c>
      <c r="B17" s="8" t="s">
        <v>126</v>
      </c>
      <c r="C17" s="7" t="s">
        <v>74</v>
      </c>
      <c r="D17" s="7" t="s">
        <v>75</v>
      </c>
      <c r="E17" s="8" t="s">
        <v>134</v>
      </c>
      <c r="F17" s="8" t="s">
        <v>96</v>
      </c>
      <c r="G17" s="8" t="s">
        <v>78</v>
      </c>
      <c r="H17" s="7" t="s">
        <v>135</v>
      </c>
      <c r="I17" s="8" t="s">
        <v>80</v>
      </c>
      <c r="J17" s="8" t="s">
        <v>136</v>
      </c>
      <c r="K17" s="12" t="n">
        <v>0.4</v>
      </c>
    </row>
    <row r="18" customFormat="false" ht="23.85" hidden="false" customHeight="false" outlineLevel="0" collapsed="false">
      <c r="A18" s="8" t="s">
        <v>137</v>
      </c>
      <c r="B18" s="8" t="s">
        <v>126</v>
      </c>
      <c r="C18" s="7" t="s">
        <v>94</v>
      </c>
      <c r="D18" s="7" t="s">
        <v>75</v>
      </c>
      <c r="E18" s="8" t="s">
        <v>138</v>
      </c>
      <c r="F18" s="8" t="s">
        <v>96</v>
      </c>
      <c r="G18" s="8" t="s">
        <v>78</v>
      </c>
      <c r="H18" s="7" t="s">
        <v>116</v>
      </c>
      <c r="I18" s="8" t="s">
        <v>80</v>
      </c>
      <c r="J18" s="8" t="s">
        <v>139</v>
      </c>
      <c r="K18" s="12" t="n">
        <v>1.5</v>
      </c>
    </row>
    <row r="19" customFormat="false" ht="23.85" hidden="false" customHeight="false" outlineLevel="0" collapsed="false">
      <c r="A19" s="8" t="s">
        <v>140</v>
      </c>
      <c r="B19" s="8" t="s">
        <v>141</v>
      </c>
      <c r="C19" s="7" t="s">
        <v>88</v>
      </c>
      <c r="D19" s="7" t="s">
        <v>75</v>
      </c>
      <c r="E19" s="8" t="s">
        <v>142</v>
      </c>
      <c r="F19" s="8" t="s">
        <v>96</v>
      </c>
      <c r="G19" s="8" t="s">
        <v>78</v>
      </c>
      <c r="H19" s="7" t="s">
        <v>143</v>
      </c>
      <c r="I19" s="8" t="s">
        <v>80</v>
      </c>
      <c r="J19" s="8" t="s">
        <v>144</v>
      </c>
      <c r="K19" s="12" t="n">
        <v>1.5</v>
      </c>
    </row>
    <row r="20" customFormat="false" ht="15" hidden="false" customHeight="false" outlineLevel="0" collapsed="false">
      <c r="A20" s="8" t="s">
        <v>145</v>
      </c>
      <c r="B20" s="8" t="s">
        <v>141</v>
      </c>
      <c r="C20" s="7" t="s">
        <v>94</v>
      </c>
      <c r="D20" s="7" t="s">
        <v>75</v>
      </c>
      <c r="E20" s="8" t="s">
        <v>146</v>
      </c>
      <c r="F20" s="8" t="s">
        <v>96</v>
      </c>
      <c r="G20" s="8" t="s">
        <v>78</v>
      </c>
      <c r="H20" s="7" t="s">
        <v>143</v>
      </c>
      <c r="I20" s="8" t="s">
        <v>80</v>
      </c>
      <c r="J20" s="8" t="s">
        <v>147</v>
      </c>
      <c r="K20" s="12" t="n">
        <v>1.5</v>
      </c>
    </row>
    <row r="21" customFormat="false" ht="23.85" hidden="false" customHeight="false" outlineLevel="0" collapsed="false">
      <c r="A21" s="8" t="s">
        <v>148</v>
      </c>
      <c r="B21" s="8" t="s">
        <v>141</v>
      </c>
      <c r="C21" s="7" t="s">
        <v>94</v>
      </c>
      <c r="D21" s="7" t="s">
        <v>75</v>
      </c>
      <c r="E21" s="8" t="s">
        <v>149</v>
      </c>
      <c r="F21" s="8" t="s">
        <v>96</v>
      </c>
      <c r="G21" s="8" t="s">
        <v>78</v>
      </c>
      <c r="H21" s="7" t="s">
        <v>98</v>
      </c>
      <c r="I21" s="8" t="s">
        <v>99</v>
      </c>
      <c r="J21" s="8" t="s">
        <v>150</v>
      </c>
      <c r="K21" s="12" t="n">
        <v>2</v>
      </c>
    </row>
    <row r="22" customFormat="false" ht="15" hidden="false" customHeight="false" outlineLevel="0" collapsed="false">
      <c r="A22" s="8" t="s">
        <v>151</v>
      </c>
      <c r="B22" s="8" t="s">
        <v>141</v>
      </c>
      <c r="C22" s="7" t="s">
        <v>94</v>
      </c>
      <c r="D22" s="7" t="s">
        <v>119</v>
      </c>
      <c r="E22" s="8" t="s">
        <v>152</v>
      </c>
      <c r="F22" s="8" t="s">
        <v>96</v>
      </c>
      <c r="G22" s="8" t="s">
        <v>78</v>
      </c>
      <c r="H22" s="7" t="s">
        <v>109</v>
      </c>
      <c r="I22" s="8" t="s">
        <v>80</v>
      </c>
      <c r="J22" s="8" t="s">
        <v>153</v>
      </c>
      <c r="K22" s="12" t="n">
        <v>2</v>
      </c>
    </row>
    <row r="23" customFormat="false" ht="15" hidden="false" customHeight="false" outlineLevel="0" collapsed="false">
      <c r="A23" s="8" t="s">
        <v>154</v>
      </c>
      <c r="B23" s="8" t="s">
        <v>141</v>
      </c>
      <c r="C23" s="7" t="s">
        <v>94</v>
      </c>
      <c r="D23" s="7" t="s">
        <v>119</v>
      </c>
      <c r="E23" s="8" t="s">
        <v>155</v>
      </c>
      <c r="F23" s="8" t="s">
        <v>96</v>
      </c>
      <c r="G23" s="8" t="s">
        <v>78</v>
      </c>
      <c r="H23" s="7" t="s">
        <v>131</v>
      </c>
      <c r="I23" s="8" t="s">
        <v>80</v>
      </c>
      <c r="J23" s="8" t="s">
        <v>156</v>
      </c>
      <c r="K23" s="12" t="n">
        <v>1.2</v>
      </c>
    </row>
    <row r="24" customFormat="false" ht="15" hidden="false" customHeight="false" outlineLevel="0" collapsed="false">
      <c r="A24" s="8" t="s">
        <v>157</v>
      </c>
      <c r="B24" s="8" t="s">
        <v>141</v>
      </c>
      <c r="C24" s="7" t="s">
        <v>94</v>
      </c>
      <c r="D24" s="7" t="s">
        <v>119</v>
      </c>
      <c r="E24" s="8" t="s">
        <v>158</v>
      </c>
      <c r="F24" s="8" t="s">
        <v>96</v>
      </c>
      <c r="G24" s="8" t="s">
        <v>78</v>
      </c>
      <c r="H24" s="7" t="s">
        <v>109</v>
      </c>
      <c r="I24" s="8" t="s">
        <v>80</v>
      </c>
      <c r="J24" s="8" t="s">
        <v>159</v>
      </c>
      <c r="K24" s="12" t="n">
        <v>1.5</v>
      </c>
    </row>
    <row r="25" customFormat="false" ht="15" hidden="false" customHeight="false" outlineLevel="0" collapsed="false">
      <c r="A25" s="8" t="s">
        <v>160</v>
      </c>
      <c r="B25" s="8" t="s">
        <v>141</v>
      </c>
      <c r="C25" s="7" t="s">
        <v>94</v>
      </c>
      <c r="D25" s="7" t="s">
        <v>119</v>
      </c>
      <c r="E25" s="8" t="s">
        <v>161</v>
      </c>
      <c r="F25" s="8" t="s">
        <v>96</v>
      </c>
      <c r="G25" s="8" t="s">
        <v>78</v>
      </c>
      <c r="H25" s="7" t="s">
        <v>116</v>
      </c>
      <c r="I25" s="8" t="s">
        <v>80</v>
      </c>
      <c r="J25" s="8" t="s">
        <v>162</v>
      </c>
      <c r="K25" s="12" t="n">
        <v>1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4" t="s">
        <v>163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8" t="s">
        <v>73</v>
      </c>
      <c r="B28" s="7" t="n">
        <f aca="false">COUNTIF($B$5:$B$25,A28)</f>
        <v>10</v>
      </c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8" t="s">
        <v>126</v>
      </c>
      <c r="B29" s="7" t="n">
        <f aca="false">COUNTIF($B$5:$B$25,A29)</f>
        <v>4</v>
      </c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8" t="s">
        <v>141</v>
      </c>
      <c r="B30" s="7" t="n">
        <f aca="false">COUNTIF($B$5:$B$25,A30)</f>
        <v>7</v>
      </c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8" t="s">
        <v>164</v>
      </c>
      <c r="B31" s="7" t="n">
        <f aca="false">COUNTIF($D$5:$D$25,"ดี")</f>
        <v>5</v>
      </c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10" t="s">
        <v>58</v>
      </c>
      <c r="B32" s="11" t="n">
        <f aca="false">COUNTA($A$5:$A$25)</f>
        <v>21</v>
      </c>
      <c r="C32" s="2"/>
      <c r="D32" s="2"/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3" t="s">
        <v>165</v>
      </c>
      <c r="B34" s="2"/>
      <c r="C34" s="2"/>
      <c r="D34" s="2"/>
      <c r="E34" s="2"/>
      <c r="F34" s="2"/>
      <c r="G34" s="2"/>
      <c r="H34" s="2"/>
      <c r="I34" s="2"/>
      <c r="J34" s="2"/>
      <c r="K34" s="2"/>
    </row>
  </sheetData>
  <autoFilter ref="A4:K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0"/>
    <col collapsed="false" customWidth="true" hidden="false" outlineLevel="0" max="4" min="4" style="0" width="4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166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167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13" t="s">
        <v>168</v>
      </c>
      <c r="B4" s="14"/>
      <c r="C4" s="14"/>
      <c r="D4" s="14"/>
      <c r="E4" s="14"/>
    </row>
    <row r="5" customFormat="false" ht="15" hidden="false" customHeight="false" outlineLevel="0" collapsed="false">
      <c r="A5" s="6" t="s">
        <v>169</v>
      </c>
      <c r="B5" s="6" t="s">
        <v>170</v>
      </c>
      <c r="C5" s="6" t="s">
        <v>171</v>
      </c>
      <c r="D5" s="6" t="s">
        <v>65</v>
      </c>
      <c r="E5" s="6" t="s">
        <v>172</v>
      </c>
    </row>
    <row r="6" customFormat="false" ht="23.85" hidden="false" customHeight="false" outlineLevel="0" collapsed="false">
      <c r="A6" s="8" t="s">
        <v>173</v>
      </c>
      <c r="B6" s="8" t="s">
        <v>174</v>
      </c>
      <c r="C6" s="8" t="s">
        <v>96</v>
      </c>
      <c r="D6" s="8" t="s">
        <v>175</v>
      </c>
      <c r="E6" s="8" t="s">
        <v>176</v>
      </c>
    </row>
    <row r="7" customFormat="false" ht="23.85" hidden="false" customHeight="false" outlineLevel="0" collapsed="false">
      <c r="A7" s="8" t="s">
        <v>177</v>
      </c>
      <c r="B7" s="8" t="s">
        <v>178</v>
      </c>
      <c r="C7" s="8" t="s">
        <v>96</v>
      </c>
      <c r="D7" s="8" t="s">
        <v>179</v>
      </c>
      <c r="E7" s="8" t="s">
        <v>180</v>
      </c>
    </row>
    <row r="8" customFormat="false" ht="23.85" hidden="false" customHeight="false" outlineLevel="0" collapsed="false">
      <c r="A8" s="8" t="s">
        <v>181</v>
      </c>
      <c r="B8" s="8" t="s">
        <v>182</v>
      </c>
      <c r="C8" s="8" t="s">
        <v>96</v>
      </c>
      <c r="D8" s="8" t="s">
        <v>183</v>
      </c>
      <c r="E8" s="8" t="s">
        <v>184</v>
      </c>
    </row>
    <row r="9" customFormat="false" ht="15" hidden="false" customHeight="false" outlineLevel="0" collapsed="false">
      <c r="A9" s="8" t="s">
        <v>185</v>
      </c>
      <c r="B9" s="8" t="s">
        <v>186</v>
      </c>
      <c r="C9" s="8" t="s">
        <v>96</v>
      </c>
      <c r="D9" s="8" t="s">
        <v>187</v>
      </c>
      <c r="E9" s="8" t="s">
        <v>188</v>
      </c>
    </row>
    <row r="10" customFormat="false" ht="23.85" hidden="false" customHeight="false" outlineLevel="0" collapsed="false">
      <c r="A10" s="8" t="s">
        <v>189</v>
      </c>
      <c r="B10" s="8" t="s">
        <v>190</v>
      </c>
      <c r="C10" s="8" t="s">
        <v>191</v>
      </c>
      <c r="D10" s="8" t="s">
        <v>192</v>
      </c>
      <c r="E10" s="8" t="s">
        <v>193</v>
      </c>
    </row>
    <row r="11" customFormat="false" ht="15" hidden="false" customHeight="false" outlineLevel="0" collapsed="false">
      <c r="A11" s="3" t="s">
        <v>194</v>
      </c>
      <c r="B11" s="2"/>
      <c r="C11" s="2"/>
      <c r="D11" s="2"/>
      <c r="E11" s="2"/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13" t="s">
        <v>195</v>
      </c>
      <c r="B13" s="14"/>
      <c r="C13" s="14"/>
      <c r="D13" s="14"/>
      <c r="E13" s="14"/>
    </row>
    <row r="14" customFormat="false" ht="15" hidden="false" customHeight="false" outlineLevel="0" collapsed="false">
      <c r="A14" s="6" t="s">
        <v>169</v>
      </c>
      <c r="B14" s="6" t="s">
        <v>196</v>
      </c>
      <c r="C14" s="6" t="s">
        <v>197</v>
      </c>
      <c r="D14" s="6" t="s">
        <v>65</v>
      </c>
      <c r="E14" s="6" t="s">
        <v>172</v>
      </c>
    </row>
    <row r="15" customFormat="false" ht="15" hidden="false" customHeight="false" outlineLevel="0" collapsed="false">
      <c r="A15" s="8" t="s">
        <v>198</v>
      </c>
      <c r="B15" s="8" t="s">
        <v>199</v>
      </c>
      <c r="C15" s="15" t="n">
        <v>0.12</v>
      </c>
      <c r="D15" s="8" t="s">
        <v>200</v>
      </c>
      <c r="E15" s="8" t="s">
        <v>201</v>
      </c>
    </row>
    <row r="16" customFormat="false" ht="15" hidden="false" customHeight="false" outlineLevel="0" collapsed="false">
      <c r="A16" s="8" t="s">
        <v>202</v>
      </c>
      <c r="B16" s="8" t="s">
        <v>203</v>
      </c>
      <c r="C16" s="15" t="n">
        <v>0.12</v>
      </c>
      <c r="D16" s="8" t="s">
        <v>204</v>
      </c>
      <c r="E16" s="8" t="s">
        <v>205</v>
      </c>
    </row>
    <row r="17" customFormat="false" ht="15" hidden="false" customHeight="false" outlineLevel="0" collapsed="false">
      <c r="A17" s="8" t="s">
        <v>206</v>
      </c>
      <c r="B17" s="8" t="s">
        <v>199</v>
      </c>
      <c r="C17" s="15" t="n">
        <v>0.12</v>
      </c>
      <c r="D17" s="8" t="s">
        <v>207</v>
      </c>
      <c r="E17" s="8" t="s">
        <v>208</v>
      </c>
    </row>
    <row r="18" customFormat="false" ht="15" hidden="false" customHeight="false" outlineLevel="0" collapsed="false">
      <c r="A18" s="8" t="s">
        <v>209</v>
      </c>
      <c r="B18" s="8" t="s">
        <v>203</v>
      </c>
      <c r="C18" s="15" t="n">
        <v>0.12</v>
      </c>
      <c r="D18" s="8" t="s">
        <v>210</v>
      </c>
      <c r="E18" s="8" t="s">
        <v>211</v>
      </c>
    </row>
    <row r="19" customFormat="false" ht="23.85" hidden="false" customHeight="false" outlineLevel="0" collapsed="false">
      <c r="A19" s="8" t="s">
        <v>212</v>
      </c>
      <c r="B19" s="8" t="s">
        <v>199</v>
      </c>
      <c r="C19" s="15" t="n">
        <v>0.12</v>
      </c>
      <c r="D19" s="8" t="s">
        <v>213</v>
      </c>
      <c r="E19" s="8" t="s">
        <v>214</v>
      </c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13" t="s">
        <v>215</v>
      </c>
      <c r="B21" s="14"/>
      <c r="C21" s="14"/>
      <c r="D21" s="14"/>
      <c r="E21" s="14"/>
    </row>
    <row r="22" customFormat="false" ht="15" hidden="false" customHeight="false" outlineLevel="0" collapsed="false">
      <c r="A22" s="6" t="s">
        <v>61</v>
      </c>
      <c r="B22" s="6" t="s">
        <v>216</v>
      </c>
      <c r="C22" s="6" t="s">
        <v>217</v>
      </c>
      <c r="D22" s="6" t="s">
        <v>218</v>
      </c>
      <c r="E22" s="6" t="s">
        <v>64</v>
      </c>
    </row>
    <row r="23" customFormat="false" ht="23.85" hidden="false" customHeight="false" outlineLevel="0" collapsed="false">
      <c r="A23" s="8" t="s">
        <v>219</v>
      </c>
      <c r="B23" s="8" t="s">
        <v>220</v>
      </c>
      <c r="C23" s="7" t="s">
        <v>221</v>
      </c>
      <c r="D23" s="8" t="s">
        <v>222</v>
      </c>
      <c r="E23" s="8" t="s">
        <v>223</v>
      </c>
    </row>
    <row r="24" customFormat="false" ht="15" hidden="false" customHeight="false" outlineLevel="0" collapsed="false">
      <c r="A24" s="8" t="s">
        <v>224</v>
      </c>
      <c r="B24" s="8" t="s">
        <v>225</v>
      </c>
      <c r="C24" s="7" t="s">
        <v>226</v>
      </c>
      <c r="D24" s="8" t="s">
        <v>227</v>
      </c>
      <c r="E24" s="8" t="s">
        <v>228</v>
      </c>
    </row>
    <row r="25" customFormat="false" ht="15" hidden="false" customHeight="false" outlineLevel="0" collapsed="false">
      <c r="A25" s="8" t="s">
        <v>229</v>
      </c>
      <c r="B25" s="8" t="s">
        <v>230</v>
      </c>
      <c r="C25" s="7" t="s">
        <v>231</v>
      </c>
      <c r="D25" s="8" t="s">
        <v>19</v>
      </c>
      <c r="E25" s="8" t="s">
        <v>232</v>
      </c>
    </row>
    <row r="26" customFormat="false" ht="15" hidden="false" customHeight="false" outlineLevel="0" collapsed="false">
      <c r="A26" s="8" t="s">
        <v>233</v>
      </c>
      <c r="B26" s="8" t="s">
        <v>234</v>
      </c>
      <c r="C26" s="7" t="s">
        <v>235</v>
      </c>
      <c r="D26" s="8" t="s">
        <v>236</v>
      </c>
      <c r="E26" s="8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10" min="8" style="0" width="18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238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239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3.85" hidden="false" customHeight="false" outlineLevel="0" collapsed="false">
      <c r="A4" s="6" t="s">
        <v>240</v>
      </c>
      <c r="B4" s="6" t="s">
        <v>217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  <c r="H4" s="6" t="s">
        <v>246</v>
      </c>
      <c r="I4" s="6" t="s">
        <v>247</v>
      </c>
      <c r="J4" s="6" t="s">
        <v>248</v>
      </c>
      <c r="K4" s="6" t="s">
        <v>249</v>
      </c>
    </row>
    <row r="5" customFormat="false" ht="15" hidden="false" customHeight="false" outlineLevel="0" collapsed="false">
      <c r="A5" s="8" t="s">
        <v>250</v>
      </c>
      <c r="B5" s="15" t="n">
        <v>0.15</v>
      </c>
      <c r="C5" s="16" t="n">
        <v>1</v>
      </c>
      <c r="D5" s="17" t="n">
        <v>0.7</v>
      </c>
      <c r="E5" s="17" t="n">
        <v>1</v>
      </c>
      <c r="F5" s="17" t="n">
        <v>0.25</v>
      </c>
      <c r="G5" s="17" t="n">
        <v>0</v>
      </c>
      <c r="H5" s="12" t="n">
        <f aca="false">B5*C5*12</f>
        <v>1.8</v>
      </c>
      <c r="I5" s="18" t="n">
        <v>1.81</v>
      </c>
      <c r="J5" s="19" t="n">
        <v>4.1</v>
      </c>
      <c r="K5" s="20" t="n">
        <v>17</v>
      </c>
    </row>
    <row r="6" customFormat="false" ht="15" hidden="false" customHeight="false" outlineLevel="0" collapsed="false">
      <c r="A6" s="8" t="s">
        <v>251</v>
      </c>
      <c r="B6" s="15" t="n">
        <v>0.3</v>
      </c>
      <c r="C6" s="16" t="n">
        <v>1</v>
      </c>
      <c r="D6" s="17" t="n">
        <v>1</v>
      </c>
      <c r="E6" s="17" t="n">
        <v>1</v>
      </c>
      <c r="F6" s="17" t="n">
        <v>0.7</v>
      </c>
      <c r="G6" s="17" t="n">
        <v>0.12</v>
      </c>
      <c r="H6" s="12" t="n">
        <f aca="false">B6*C6*12</f>
        <v>3.6</v>
      </c>
      <c r="I6" s="18" t="n">
        <v>3.66</v>
      </c>
      <c r="J6" s="19" t="n">
        <v>7.6</v>
      </c>
      <c r="K6" s="20" t="n">
        <v>20</v>
      </c>
    </row>
    <row r="7" customFormat="false" ht="15" hidden="false" customHeight="false" outlineLevel="0" collapsed="false">
      <c r="A7" s="8" t="s">
        <v>252</v>
      </c>
      <c r="B7" s="15" t="n">
        <v>0.4</v>
      </c>
      <c r="C7" s="16" t="n">
        <v>2</v>
      </c>
      <c r="D7" s="17" t="n">
        <v>1.25</v>
      </c>
      <c r="E7" s="17" t="n">
        <v>1</v>
      </c>
      <c r="F7" s="17" t="n">
        <v>1</v>
      </c>
      <c r="G7" s="17" t="n">
        <v>0.45</v>
      </c>
      <c r="H7" s="12" t="n">
        <f aca="false">B7*C7*12</f>
        <v>9.6</v>
      </c>
      <c r="I7" s="18" t="n">
        <v>9.76</v>
      </c>
      <c r="J7" s="19" t="n">
        <v>11</v>
      </c>
      <c r="K7" s="20" t="n">
        <v>21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15" hidden="false" customHeight="false" outlineLevel="0" collapsed="false">
      <c r="A9" s="3" t="s">
        <v>253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15" hidden="false" customHeight="false" outlineLevel="0" collapsed="false">
      <c r="A10" s="3" t="s">
        <v>254</v>
      </c>
      <c r="B10" s="2"/>
      <c r="C10" s="2"/>
      <c r="D10" s="2"/>
      <c r="E10" s="2"/>
      <c r="F10" s="2"/>
      <c r="G10" s="2"/>
      <c r="H10" s="2"/>
      <c r="I10" s="2"/>
      <c r="J10" s="2"/>
      <c r="K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20"/>
    <col collapsed="false" customWidth="true" hidden="false" outlineLevel="0" max="7" min="7" style="0" width="50"/>
    <col collapsed="false" customWidth="true" hidden="false" outlineLevel="0" max="9" min="8" style="0" width="16"/>
    <col collapsed="false" customWidth="true" hidden="false" outlineLevel="0" max="10" min="10" style="0" width="14"/>
  </cols>
  <sheetData>
    <row r="1" customFormat="false" ht="17.15" hidden="false" customHeight="false" outlineLevel="0" collapsed="false">
      <c r="A1" s="1" t="s">
        <v>255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256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257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3" t="s">
        <v>258</v>
      </c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6" t="s">
        <v>259</v>
      </c>
      <c r="B5" s="6" t="s">
        <v>260</v>
      </c>
      <c r="C5" s="6" t="s">
        <v>261</v>
      </c>
      <c r="D5" s="6" t="s">
        <v>262</v>
      </c>
      <c r="E5" s="6" t="s">
        <v>263</v>
      </c>
      <c r="F5" s="6" t="s">
        <v>264</v>
      </c>
      <c r="G5" s="6" t="s">
        <v>265</v>
      </c>
      <c r="H5" s="6" t="s">
        <v>9</v>
      </c>
      <c r="I5" s="6" t="s">
        <v>266</v>
      </c>
      <c r="J5" s="6" t="s">
        <v>267</v>
      </c>
    </row>
    <row r="6" customFormat="false" ht="23.85" hidden="false" customHeight="false" outlineLevel="0" collapsed="false">
      <c r="A6" s="8" t="s">
        <v>268</v>
      </c>
      <c r="B6" s="7" t="s">
        <v>269</v>
      </c>
      <c r="C6" s="21" t="n">
        <v>4</v>
      </c>
      <c r="D6" s="21" t="n">
        <v>8</v>
      </c>
      <c r="E6" s="7" t="n">
        <f aca="false">C6*D6</f>
        <v>32</v>
      </c>
      <c r="F6" s="8" t="s">
        <v>270</v>
      </c>
      <c r="G6" s="8" t="s">
        <v>271</v>
      </c>
      <c r="H6" s="9" t="s">
        <v>57</v>
      </c>
      <c r="I6" s="22"/>
      <c r="J6" s="23"/>
    </row>
    <row r="7" customFormat="false" ht="15" hidden="false" customHeight="false" outlineLevel="0" collapsed="false">
      <c r="A7" s="8" t="s">
        <v>272</v>
      </c>
      <c r="B7" s="7" t="s">
        <v>273</v>
      </c>
      <c r="C7" s="21" t="n">
        <v>1</v>
      </c>
      <c r="D7" s="21" t="n">
        <v>8</v>
      </c>
      <c r="E7" s="7" t="n">
        <f aca="false">C7*D7</f>
        <v>8</v>
      </c>
      <c r="F7" s="8" t="s">
        <v>270</v>
      </c>
      <c r="G7" s="8" t="s">
        <v>274</v>
      </c>
      <c r="H7" s="9" t="s">
        <v>57</v>
      </c>
      <c r="I7" s="22"/>
      <c r="J7" s="23"/>
    </row>
    <row r="8" customFormat="false" ht="23.85" hidden="false" customHeight="false" outlineLevel="0" collapsed="false">
      <c r="A8" s="8" t="s">
        <v>275</v>
      </c>
      <c r="B8" s="7" t="s">
        <v>276</v>
      </c>
      <c r="C8" s="21" t="n">
        <v>1</v>
      </c>
      <c r="D8" s="21" t="n">
        <v>5</v>
      </c>
      <c r="E8" s="7" t="n">
        <f aca="false">C8*D8</f>
        <v>5</v>
      </c>
      <c r="F8" s="8" t="s">
        <v>270</v>
      </c>
      <c r="G8" s="8" t="s">
        <v>277</v>
      </c>
      <c r="H8" s="9" t="s">
        <v>57</v>
      </c>
      <c r="I8" s="22"/>
      <c r="J8" s="23"/>
    </row>
    <row r="9" customFormat="false" ht="15" hidden="false" customHeight="false" outlineLevel="0" collapsed="false">
      <c r="A9" s="8" t="s">
        <v>278</v>
      </c>
      <c r="B9" s="7" t="s">
        <v>276</v>
      </c>
      <c r="C9" s="21" t="n">
        <v>1</v>
      </c>
      <c r="D9" s="21" t="n">
        <v>5</v>
      </c>
      <c r="E9" s="7" t="n">
        <f aca="false">C9*D9</f>
        <v>5</v>
      </c>
      <c r="F9" s="8" t="s">
        <v>270</v>
      </c>
      <c r="G9" s="8" t="s">
        <v>279</v>
      </c>
      <c r="H9" s="9" t="s">
        <v>57</v>
      </c>
      <c r="I9" s="22"/>
      <c r="J9" s="23"/>
    </row>
    <row r="10" customFormat="false" ht="23.85" hidden="false" customHeight="false" outlineLevel="0" collapsed="false">
      <c r="A10" s="8" t="s">
        <v>280</v>
      </c>
      <c r="B10" s="7" t="s">
        <v>281</v>
      </c>
      <c r="C10" s="21" t="n">
        <v>1</v>
      </c>
      <c r="D10" s="21" t="n">
        <v>9</v>
      </c>
      <c r="E10" s="7" t="n">
        <f aca="false">C10*D10</f>
        <v>9</v>
      </c>
      <c r="F10" s="8" t="s">
        <v>282</v>
      </c>
      <c r="G10" s="8" t="s">
        <v>283</v>
      </c>
      <c r="H10" s="9" t="s">
        <v>57</v>
      </c>
      <c r="I10" s="22"/>
      <c r="J10" s="23"/>
    </row>
    <row r="11" customFormat="false" ht="15" hidden="false" customHeight="false" outlineLevel="0" collapsed="false">
      <c r="A11" s="2"/>
      <c r="B11" s="2"/>
      <c r="C11" s="2"/>
      <c r="D11" s="11" t="s">
        <v>263</v>
      </c>
      <c r="E11" s="11" t="n">
        <f aca="false">SUM(E6:E10)</f>
        <v>59</v>
      </c>
      <c r="F11" s="2"/>
      <c r="G11" s="2"/>
      <c r="H11" s="2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4" t="s">
        <v>284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24" t="s">
        <v>285</v>
      </c>
      <c r="B14" s="2"/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24" t="s">
        <v>286</v>
      </c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24" t="s">
        <v>287</v>
      </c>
      <c r="B16" s="2"/>
      <c r="C16" s="2"/>
      <c r="D16" s="2"/>
      <c r="E16" s="2"/>
      <c r="F16" s="2"/>
      <c r="G16" s="2"/>
      <c r="H16" s="2"/>
      <c r="I16" s="2"/>
      <c r="J16" s="2"/>
    </row>
  </sheetData>
  <dataValidations count="1">
    <dataValidation allowBlank="true" errorStyle="stop" operator="between" showDropDown="false" showErrorMessage="false" showInputMessage="false" sqref="H6:H10" type="list">
      <formula1>"ยังไม่เริ่ม,กำลังร่าง,ส่งให้ Claude แล้ว,ใส่ในเกมแล้ว"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44"/>
    <col collapsed="false" customWidth="true" hidden="false" outlineLevel="0" max="6" min="6" style="0" width="24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1" t="s">
        <v>288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289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6" t="s">
        <v>290</v>
      </c>
      <c r="B4" s="6" t="s">
        <v>291</v>
      </c>
      <c r="C4" s="6" t="s">
        <v>292</v>
      </c>
      <c r="D4" s="6" t="s">
        <v>293</v>
      </c>
      <c r="E4" s="6" t="s">
        <v>294</v>
      </c>
      <c r="F4" s="6" t="s">
        <v>295</v>
      </c>
      <c r="G4" s="6" t="s">
        <v>10</v>
      </c>
    </row>
    <row r="5" customFormat="false" ht="35.05" hidden="false" customHeight="false" outlineLevel="0" collapsed="false">
      <c r="A5" s="7" t="s">
        <v>296</v>
      </c>
      <c r="B5" s="8" t="s">
        <v>297</v>
      </c>
      <c r="C5" s="25" t="n">
        <v>0</v>
      </c>
      <c r="D5" s="8" t="s">
        <v>298</v>
      </c>
      <c r="E5" s="8" t="s">
        <v>299</v>
      </c>
      <c r="F5" s="8" t="s">
        <v>300</v>
      </c>
      <c r="G5" s="8" t="s">
        <v>301</v>
      </c>
    </row>
    <row r="6" customFormat="false" ht="46.25" hidden="false" customHeight="false" outlineLevel="0" collapsed="false">
      <c r="A6" s="7" t="s">
        <v>302</v>
      </c>
      <c r="B6" s="8" t="s">
        <v>303</v>
      </c>
      <c r="C6" s="25" t="n">
        <v>0</v>
      </c>
      <c r="D6" s="8" t="s">
        <v>304</v>
      </c>
      <c r="E6" s="8" t="s">
        <v>305</v>
      </c>
      <c r="F6" s="8" t="s">
        <v>306</v>
      </c>
      <c r="G6" s="8" t="s">
        <v>307</v>
      </c>
    </row>
    <row r="7" customFormat="false" ht="23.85" hidden="false" customHeight="false" outlineLevel="0" collapsed="false">
      <c r="A7" s="7" t="s">
        <v>308</v>
      </c>
      <c r="B7" s="8" t="s">
        <v>309</v>
      </c>
      <c r="C7" s="26" t="n">
        <f aca="false">B14</f>
        <v>15</v>
      </c>
      <c r="D7" s="8" t="s">
        <v>310</v>
      </c>
      <c r="E7" s="8" t="s">
        <v>311</v>
      </c>
      <c r="F7" s="8" t="s">
        <v>312</v>
      </c>
      <c r="G7" s="8" t="s">
        <v>313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13" t="s">
        <v>314</v>
      </c>
      <c r="B10" s="14"/>
      <c r="C10" s="14"/>
      <c r="D10" s="14"/>
      <c r="E10" s="14"/>
      <c r="F10" s="14"/>
      <c r="G10" s="14"/>
    </row>
    <row r="11" customFormat="false" ht="15" hidden="false" customHeight="false" outlineLevel="0" collapsed="false">
      <c r="A11" s="10" t="s">
        <v>315</v>
      </c>
      <c r="B11" s="27" t="n">
        <v>4000</v>
      </c>
      <c r="C11" s="8" t="s">
        <v>316</v>
      </c>
      <c r="D11" s="2"/>
      <c r="E11" s="2"/>
      <c r="F11" s="2"/>
      <c r="G11" s="2"/>
    </row>
    <row r="12" customFormat="false" ht="23.85" hidden="false" customHeight="false" outlineLevel="0" collapsed="false">
      <c r="A12" s="10" t="s">
        <v>317</v>
      </c>
      <c r="B12" s="28" t="n">
        <v>33</v>
      </c>
      <c r="C12" s="8" t="s">
        <v>318</v>
      </c>
      <c r="D12" s="2"/>
      <c r="E12" s="2"/>
      <c r="F12" s="2"/>
      <c r="G12" s="2"/>
    </row>
    <row r="13" customFormat="false" ht="15" hidden="false" customHeight="false" outlineLevel="0" collapsed="false">
      <c r="A13" s="10" t="s">
        <v>319</v>
      </c>
      <c r="B13" s="29" t="n">
        <v>12</v>
      </c>
      <c r="C13" s="8" t="s">
        <v>320</v>
      </c>
      <c r="D13" s="2"/>
      <c r="E13" s="2"/>
      <c r="F13" s="2"/>
      <c r="G13" s="2"/>
    </row>
    <row r="14" customFormat="false" ht="35.05" hidden="false" customHeight="false" outlineLevel="0" collapsed="false">
      <c r="A14" s="10" t="s">
        <v>321</v>
      </c>
      <c r="B14" s="30" t="n">
        <v>15</v>
      </c>
      <c r="C14" s="8" t="s">
        <v>322</v>
      </c>
      <c r="D14" s="2"/>
      <c r="E14" s="2"/>
      <c r="F14" s="2"/>
      <c r="G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6" t="s">
        <v>290</v>
      </c>
      <c r="B16" s="6" t="s">
        <v>323</v>
      </c>
      <c r="C16" s="6" t="s">
        <v>324</v>
      </c>
      <c r="D16" s="6" t="s">
        <v>325</v>
      </c>
      <c r="E16" s="6" t="s">
        <v>326</v>
      </c>
      <c r="F16" s="2"/>
      <c r="G16" s="2"/>
    </row>
    <row r="17" customFormat="false" ht="15" hidden="false" customHeight="false" outlineLevel="0" collapsed="false">
      <c r="A17" s="7" t="s">
        <v>296</v>
      </c>
      <c r="B17" s="31" t="n">
        <f aca="false">C5*$B$12</f>
        <v>0</v>
      </c>
      <c r="C17" s="31" t="n">
        <f aca="false">B17*$B$13</f>
        <v>0</v>
      </c>
      <c r="D17" s="32" t="n">
        <f aca="false">$B$11-C17</f>
        <v>4000</v>
      </c>
      <c r="E17" s="12" t="str">
        <f aca="false">IF(B17=0,"ไม่มีค่าโฮสต์",$B$11/B17)</f>
        <v>ไม่มีค่าโฮสต์</v>
      </c>
      <c r="F17" s="2"/>
      <c r="G17" s="2"/>
    </row>
    <row r="18" customFormat="false" ht="15" hidden="false" customHeight="false" outlineLevel="0" collapsed="false">
      <c r="A18" s="7" t="s">
        <v>302</v>
      </c>
      <c r="B18" s="31" t="n">
        <f aca="false">C6*$B$12</f>
        <v>0</v>
      </c>
      <c r="C18" s="31" t="n">
        <f aca="false">B18*$B$13</f>
        <v>0</v>
      </c>
      <c r="D18" s="32" t="n">
        <f aca="false">$B$11-C18</f>
        <v>4000</v>
      </c>
      <c r="E18" s="12" t="str">
        <f aca="false">IF(B18=0,"ไม่มีค่าโฮสต์",$B$11/B18)</f>
        <v>ไม่มีค่าโฮสต์</v>
      </c>
      <c r="F18" s="2"/>
      <c r="G18" s="2"/>
    </row>
    <row r="19" customFormat="false" ht="15" hidden="false" customHeight="false" outlineLevel="0" collapsed="false">
      <c r="A19" s="7" t="s">
        <v>308</v>
      </c>
      <c r="B19" s="31" t="n">
        <f aca="false">C7*$B$12</f>
        <v>495</v>
      </c>
      <c r="C19" s="31" t="n">
        <f aca="false">B19*$B$13</f>
        <v>5940</v>
      </c>
      <c r="D19" s="32" t="n">
        <f aca="false">$B$11-C19</f>
        <v>-1940</v>
      </c>
      <c r="E19" s="12" t="n">
        <f aca="false">IF(B19=0,"ไม่มีค่าโฮสต์",$B$11/B19)</f>
        <v>8.08080808080808</v>
      </c>
      <c r="F19" s="2"/>
      <c r="G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</row>
    <row r="21" customFormat="false" ht="15" hidden="false" customHeight="false" outlineLevel="0" collapsed="false">
      <c r="A21" s="3" t="s">
        <v>327</v>
      </c>
      <c r="B21" s="2"/>
      <c r="C21" s="2"/>
      <c r="D21" s="2"/>
      <c r="E21" s="2"/>
      <c r="F21" s="2"/>
      <c r="G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15" min="4" style="0" width="12"/>
    <col collapsed="false" customWidth="true" hidden="false" outlineLevel="0" max="16" min="16" style="0" width="44"/>
  </cols>
  <sheetData>
    <row r="1" customFormat="false" ht="17.15" hidden="false" customHeight="false" outlineLevel="0" collapsed="false">
      <c r="A1" s="1" t="s">
        <v>328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329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4" t="s">
        <v>330</v>
      </c>
      <c r="B3" s="2"/>
      <c r="C3" s="18" t="n">
        <v>1.1</v>
      </c>
      <c r="D3" s="2"/>
      <c r="E3" s="4" t="s">
        <v>331</v>
      </c>
      <c r="F3" s="2"/>
      <c r="G3" s="18" t="n">
        <v>0.85</v>
      </c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6" t="s">
        <v>171</v>
      </c>
      <c r="B5" s="6" t="s">
        <v>332</v>
      </c>
      <c r="C5" s="6" t="s">
        <v>333</v>
      </c>
      <c r="D5" s="6" t="s">
        <v>334</v>
      </c>
      <c r="E5" s="6" t="s">
        <v>335</v>
      </c>
      <c r="F5" s="6" t="s">
        <v>336</v>
      </c>
      <c r="G5" s="6" t="s">
        <v>337</v>
      </c>
      <c r="H5" s="6" t="s">
        <v>338</v>
      </c>
      <c r="I5" s="6" t="s">
        <v>339</v>
      </c>
      <c r="J5" s="6" t="s">
        <v>340</v>
      </c>
      <c r="K5" s="6" t="s">
        <v>341</v>
      </c>
      <c r="L5" s="6" t="s">
        <v>342</v>
      </c>
      <c r="M5" s="6" t="s">
        <v>343</v>
      </c>
      <c r="N5" s="6" t="s">
        <v>344</v>
      </c>
      <c r="O5" s="6" t="s">
        <v>345</v>
      </c>
      <c r="P5" s="6" t="s">
        <v>346</v>
      </c>
    </row>
    <row r="6" customFormat="false" ht="23.85" hidden="false" customHeight="false" outlineLevel="0" collapsed="false">
      <c r="A6" s="10" t="s">
        <v>347</v>
      </c>
      <c r="B6" s="8"/>
      <c r="C6" s="8"/>
      <c r="D6" s="7" t="s">
        <v>348</v>
      </c>
      <c r="E6" s="7" t="s">
        <v>349</v>
      </c>
      <c r="F6" s="7" t="s">
        <v>350</v>
      </c>
      <c r="G6" s="7" t="s">
        <v>350</v>
      </c>
      <c r="H6" s="7" t="s">
        <v>351</v>
      </c>
      <c r="I6" s="7" t="s">
        <v>352</v>
      </c>
      <c r="J6" s="7" t="s">
        <v>352</v>
      </c>
      <c r="K6" s="7" t="s">
        <v>352</v>
      </c>
      <c r="L6" s="7" t="s">
        <v>352</v>
      </c>
      <c r="M6" s="7" t="s">
        <v>353</v>
      </c>
      <c r="N6" s="7" t="s">
        <v>348</v>
      </c>
      <c r="O6" s="7" t="s">
        <v>348</v>
      </c>
      <c r="P6" s="8" t="s">
        <v>354</v>
      </c>
    </row>
    <row r="7" customFormat="false" ht="15" hidden="false" customHeight="false" outlineLevel="0" collapsed="false">
      <c r="A7" s="10" t="s">
        <v>355</v>
      </c>
      <c r="B7" s="8" t="s">
        <v>356</v>
      </c>
      <c r="C7" s="33" t="n">
        <v>0.55</v>
      </c>
      <c r="D7" s="18" t="n">
        <v>1.12</v>
      </c>
      <c r="E7" s="18" t="n">
        <v>1.08</v>
      </c>
      <c r="F7" s="18" t="n">
        <v>1</v>
      </c>
      <c r="G7" s="18" t="n">
        <v>1.02</v>
      </c>
      <c r="H7" s="18" t="n">
        <v>0.92</v>
      </c>
      <c r="I7" s="18" t="n">
        <v>0.88</v>
      </c>
      <c r="J7" s="18" t="n">
        <v>0.9</v>
      </c>
      <c r="K7" s="18" t="n">
        <v>0.92</v>
      </c>
      <c r="L7" s="18" t="n">
        <v>0.86</v>
      </c>
      <c r="M7" s="18" t="n">
        <v>0.94</v>
      </c>
      <c r="N7" s="18" t="n">
        <v>1.08</v>
      </c>
      <c r="O7" s="18" t="n">
        <v>1.18</v>
      </c>
      <c r="P7" s="8" t="s">
        <v>357</v>
      </c>
    </row>
    <row r="8" customFormat="false" ht="15" hidden="false" customHeight="false" outlineLevel="0" collapsed="false">
      <c r="A8" s="10" t="s">
        <v>358</v>
      </c>
      <c r="B8" s="8" t="s">
        <v>356</v>
      </c>
      <c r="C8" s="33" t="n">
        <v>0.1</v>
      </c>
      <c r="D8" s="18" t="n">
        <v>1.05</v>
      </c>
      <c r="E8" s="18" t="n">
        <v>1</v>
      </c>
      <c r="F8" s="18" t="n">
        <v>0.95</v>
      </c>
      <c r="G8" s="18" t="n">
        <v>1.1</v>
      </c>
      <c r="H8" s="18" t="n">
        <v>0.9</v>
      </c>
      <c r="I8" s="18" t="n">
        <v>0.92</v>
      </c>
      <c r="J8" s="18" t="n">
        <v>0.95</v>
      </c>
      <c r="K8" s="18" t="n">
        <v>0.95</v>
      </c>
      <c r="L8" s="18" t="n">
        <v>0.92</v>
      </c>
      <c r="M8" s="18" t="n">
        <v>1</v>
      </c>
      <c r="N8" s="18" t="n">
        <v>1.08</v>
      </c>
      <c r="O8" s="18" t="n">
        <v>1.15</v>
      </c>
      <c r="P8" s="8" t="s">
        <v>357</v>
      </c>
    </row>
    <row r="9" customFormat="false" ht="15" hidden="false" customHeight="false" outlineLevel="0" collapsed="false">
      <c r="A9" s="10" t="s">
        <v>191</v>
      </c>
      <c r="B9" s="8" t="s">
        <v>359</v>
      </c>
      <c r="C9" s="33" t="n">
        <v>0.8</v>
      </c>
      <c r="D9" s="18" t="n">
        <v>1.28</v>
      </c>
      <c r="E9" s="18" t="n">
        <v>1.3</v>
      </c>
      <c r="F9" s="18" t="n">
        <v>1.2</v>
      </c>
      <c r="G9" s="18" t="n">
        <v>1.08</v>
      </c>
      <c r="H9" s="18" t="n">
        <v>0.8</v>
      </c>
      <c r="I9" s="18" t="n">
        <v>0.68</v>
      </c>
      <c r="J9" s="18" t="n">
        <v>0.75</v>
      </c>
      <c r="K9" s="18" t="n">
        <v>0.75</v>
      </c>
      <c r="L9" s="18" t="n">
        <v>0.65</v>
      </c>
      <c r="M9" s="18" t="n">
        <v>0.78</v>
      </c>
      <c r="N9" s="18" t="n">
        <v>1.05</v>
      </c>
      <c r="O9" s="18" t="n">
        <v>1.3</v>
      </c>
      <c r="P9" s="8" t="s">
        <v>360</v>
      </c>
    </row>
    <row r="10" customFormat="false" ht="15" hidden="false" customHeight="false" outlineLevel="0" collapsed="false">
      <c r="A10" s="10" t="s">
        <v>361</v>
      </c>
      <c r="B10" s="8" t="s">
        <v>359</v>
      </c>
      <c r="C10" s="33" t="n">
        <v>0.6</v>
      </c>
      <c r="D10" s="18" t="n">
        <v>1.18</v>
      </c>
      <c r="E10" s="18" t="n">
        <v>1.15</v>
      </c>
      <c r="F10" s="18" t="n">
        <v>1.05</v>
      </c>
      <c r="G10" s="18" t="n">
        <v>1.12</v>
      </c>
      <c r="H10" s="18" t="n">
        <v>0.9</v>
      </c>
      <c r="I10" s="18" t="n">
        <v>0.82</v>
      </c>
      <c r="J10" s="18" t="n">
        <v>0.85</v>
      </c>
      <c r="K10" s="18" t="n">
        <v>0.88</v>
      </c>
      <c r="L10" s="18" t="n">
        <v>0.78</v>
      </c>
      <c r="M10" s="18" t="n">
        <v>0.92</v>
      </c>
      <c r="N10" s="18" t="n">
        <v>1.08</v>
      </c>
      <c r="O10" s="18" t="n">
        <v>1.25</v>
      </c>
      <c r="P10" s="8" t="s">
        <v>357</v>
      </c>
    </row>
    <row r="11" customFormat="false" ht="15" hidden="false" customHeight="false" outlineLevel="0" collapsed="false">
      <c r="A11" s="10" t="s">
        <v>362</v>
      </c>
      <c r="B11" s="8" t="s">
        <v>363</v>
      </c>
      <c r="C11" s="33" t="n">
        <v>0.08</v>
      </c>
      <c r="D11" s="18" t="n">
        <v>1.1</v>
      </c>
      <c r="E11" s="18" t="n">
        <v>1</v>
      </c>
      <c r="F11" s="18" t="n">
        <v>1.08</v>
      </c>
      <c r="G11" s="18" t="n">
        <v>1.15</v>
      </c>
      <c r="H11" s="18" t="n">
        <v>1.02</v>
      </c>
      <c r="I11" s="18" t="n">
        <v>0.85</v>
      </c>
      <c r="J11" s="18" t="n">
        <v>0.88</v>
      </c>
      <c r="K11" s="18" t="n">
        <v>0.9</v>
      </c>
      <c r="L11" s="18" t="n">
        <v>0.8</v>
      </c>
      <c r="M11" s="18" t="n">
        <v>1</v>
      </c>
      <c r="N11" s="18" t="n">
        <v>1</v>
      </c>
      <c r="O11" s="18" t="n">
        <v>1.18</v>
      </c>
      <c r="P11" s="8" t="s">
        <v>357</v>
      </c>
    </row>
    <row r="12" customFormat="false" ht="15" hidden="false" customHeight="false" outlineLevel="0" collapsed="false">
      <c r="A12" s="10" t="s">
        <v>364</v>
      </c>
      <c r="B12" s="8" t="s">
        <v>363</v>
      </c>
      <c r="C12" s="33" t="n">
        <v>0.06</v>
      </c>
      <c r="D12" s="18" t="n">
        <v>1.12</v>
      </c>
      <c r="E12" s="18" t="n">
        <v>1.02</v>
      </c>
      <c r="F12" s="18" t="n">
        <v>0.98</v>
      </c>
      <c r="G12" s="18" t="n">
        <v>1.05</v>
      </c>
      <c r="H12" s="18" t="n">
        <v>0.92</v>
      </c>
      <c r="I12" s="18" t="n">
        <v>0.85</v>
      </c>
      <c r="J12" s="18" t="n">
        <v>0.9</v>
      </c>
      <c r="K12" s="18" t="n">
        <v>0.9</v>
      </c>
      <c r="L12" s="18" t="n">
        <v>0.85</v>
      </c>
      <c r="M12" s="18" t="n">
        <v>0.98</v>
      </c>
      <c r="N12" s="18" t="n">
        <v>1.1</v>
      </c>
      <c r="O12" s="18" t="n">
        <v>1.25</v>
      </c>
      <c r="P12" s="8" t="s">
        <v>357</v>
      </c>
    </row>
    <row r="13" customFormat="false" ht="15" hidden="false" customHeight="false" outlineLevel="0" collapsed="false">
      <c r="A13" s="10" t="s">
        <v>365</v>
      </c>
      <c r="B13" s="8" t="s">
        <v>363</v>
      </c>
      <c r="C13" s="33" t="n">
        <v>0.22</v>
      </c>
      <c r="D13" s="18" t="n">
        <v>1.2</v>
      </c>
      <c r="E13" s="18" t="n">
        <v>1.25</v>
      </c>
      <c r="F13" s="18" t="n">
        <v>1.2</v>
      </c>
      <c r="G13" s="18" t="n">
        <v>1.12</v>
      </c>
      <c r="H13" s="18" t="n">
        <v>0.85</v>
      </c>
      <c r="I13" s="18" t="n">
        <v>0.72</v>
      </c>
      <c r="J13" s="18" t="n">
        <v>0.65</v>
      </c>
      <c r="K13" s="18" t="n">
        <v>0.72</v>
      </c>
      <c r="L13" s="18" t="n">
        <v>0.75</v>
      </c>
      <c r="M13" s="18" t="n">
        <v>0.8</v>
      </c>
      <c r="N13" s="18" t="n">
        <v>1</v>
      </c>
      <c r="O13" s="18" t="n">
        <v>1.2</v>
      </c>
      <c r="P13" s="8" t="s">
        <v>366</v>
      </c>
    </row>
    <row r="14" customFormat="false" ht="15" hidden="false" customHeight="false" outlineLevel="0" collapsed="false">
      <c r="A14" s="10" t="s">
        <v>77</v>
      </c>
      <c r="B14" s="8" t="s">
        <v>367</v>
      </c>
      <c r="C14" s="33" t="n">
        <v>0.45</v>
      </c>
      <c r="D14" s="18" t="n">
        <v>1.35</v>
      </c>
      <c r="E14" s="18" t="n">
        <v>1.15</v>
      </c>
      <c r="F14" s="18" t="n">
        <v>0.9</v>
      </c>
      <c r="G14" s="18" t="n">
        <v>0.95</v>
      </c>
      <c r="H14" s="18" t="n">
        <v>0.78</v>
      </c>
      <c r="I14" s="18" t="n">
        <v>0.72</v>
      </c>
      <c r="J14" s="18" t="n">
        <v>0.82</v>
      </c>
      <c r="K14" s="18" t="n">
        <v>0.85</v>
      </c>
      <c r="L14" s="18" t="n">
        <v>0.8</v>
      </c>
      <c r="M14" s="18" t="n">
        <v>0.95</v>
      </c>
      <c r="N14" s="18" t="n">
        <v>1.25</v>
      </c>
      <c r="O14" s="18" t="n">
        <v>1.45</v>
      </c>
      <c r="P14" s="8" t="s">
        <v>357</v>
      </c>
    </row>
    <row r="15" customFormat="false" ht="15" hidden="false" customHeight="false" outlineLevel="0" collapsed="false">
      <c r="A15" s="10" t="s">
        <v>368</v>
      </c>
      <c r="B15" s="8" t="s">
        <v>367</v>
      </c>
      <c r="C15" s="33" t="n">
        <v>0.05</v>
      </c>
      <c r="D15" s="18" t="n">
        <v>1.45</v>
      </c>
      <c r="E15" s="18" t="n">
        <v>1.05</v>
      </c>
      <c r="F15" s="18" t="n">
        <v>0.8</v>
      </c>
      <c r="G15" s="18" t="n">
        <v>0.9</v>
      </c>
      <c r="H15" s="18" t="n">
        <v>0.7</v>
      </c>
      <c r="I15" s="18" t="n">
        <v>0.65</v>
      </c>
      <c r="J15" s="18" t="n">
        <v>0.75</v>
      </c>
      <c r="K15" s="18" t="n">
        <v>0.75</v>
      </c>
      <c r="L15" s="18" t="n">
        <v>0.75</v>
      </c>
      <c r="M15" s="18" t="n">
        <v>0.95</v>
      </c>
      <c r="N15" s="18" t="n">
        <v>1.35</v>
      </c>
      <c r="O15" s="18" t="n">
        <v>1.6</v>
      </c>
      <c r="P15" s="8" t="s">
        <v>357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5" hidden="false" customHeight="false" outlineLevel="0" collapsed="false">
      <c r="A17" s="13" t="s">
        <v>369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customFormat="false" ht="15" hidden="false" customHeight="false" outlineLevel="0" collapsed="false">
      <c r="A18" s="6" t="s">
        <v>171</v>
      </c>
      <c r="B18" s="6"/>
      <c r="C18" s="6"/>
      <c r="D18" s="6" t="s">
        <v>334</v>
      </c>
      <c r="E18" s="6" t="s">
        <v>335</v>
      </c>
      <c r="F18" s="6" t="s">
        <v>336</v>
      </c>
      <c r="G18" s="6" t="s">
        <v>337</v>
      </c>
      <c r="H18" s="6" t="s">
        <v>338</v>
      </c>
      <c r="I18" s="6" t="s">
        <v>339</v>
      </c>
      <c r="J18" s="6" t="s">
        <v>340</v>
      </c>
      <c r="K18" s="6" t="s">
        <v>341</v>
      </c>
      <c r="L18" s="6" t="s">
        <v>342</v>
      </c>
      <c r="M18" s="6" t="s">
        <v>343</v>
      </c>
      <c r="N18" s="6" t="s">
        <v>344</v>
      </c>
      <c r="O18" s="6" t="s">
        <v>345</v>
      </c>
      <c r="P18" s="6" t="s">
        <v>370</v>
      </c>
    </row>
    <row r="19" customFormat="false" ht="15" hidden="false" customHeight="false" outlineLevel="0" collapsed="false">
      <c r="A19" s="10" t="str">
        <f aca="false">A7</f>
        <v>กรุงเทพฯ</v>
      </c>
      <c r="B19" s="8"/>
      <c r="C19" s="8"/>
      <c r="D19" s="7" t="str">
        <f aca="false">IF(D7&gt;=$C$3,"ไฮซีซั่น",IF(D7&lt;=$G$3,"โลว์ซีซั่น","กึ่งไฮซีซั่น"))</f>
        <v>ไฮซีซั่น</v>
      </c>
      <c r="E19" s="7" t="str">
        <f aca="false">IF(E7&gt;=$C$3,"ไฮซีซั่น",IF(E7&lt;=$G$3,"โลว์ซีซั่น","กึ่งไฮซีซั่น"))</f>
        <v>กึ่งไฮซีซั่น</v>
      </c>
      <c r="F19" s="7" t="str">
        <f aca="false">IF(F7&gt;=$C$3,"ไฮซีซั่น",IF(F7&lt;=$G$3,"โลว์ซีซั่น","กึ่งไฮซีซั่น"))</f>
        <v>กึ่งไฮซีซั่น</v>
      </c>
      <c r="G19" s="7" t="str">
        <f aca="false">IF(G7&gt;=$C$3,"ไฮซีซั่น",IF(G7&lt;=$G$3,"โลว์ซีซั่น","กึ่งไฮซีซั่น"))</f>
        <v>กึ่งไฮซีซั่น</v>
      </c>
      <c r="H19" s="7" t="str">
        <f aca="false">IF(H7&gt;=$C$3,"ไฮซีซั่น",IF(H7&lt;=$G$3,"โลว์ซีซั่น","กึ่งไฮซีซั่น"))</f>
        <v>กึ่งไฮซีซั่น</v>
      </c>
      <c r="I19" s="7" t="str">
        <f aca="false">IF(I7&gt;=$C$3,"ไฮซีซั่น",IF(I7&lt;=$G$3,"โลว์ซีซั่น","กึ่งไฮซีซั่น"))</f>
        <v>กึ่งไฮซีซั่น</v>
      </c>
      <c r="J19" s="7" t="str">
        <f aca="false">IF(J7&gt;=$C$3,"ไฮซีซั่น",IF(J7&lt;=$G$3,"โลว์ซีซั่น","กึ่งไฮซีซั่น"))</f>
        <v>กึ่งไฮซีซั่น</v>
      </c>
      <c r="K19" s="7" t="str">
        <f aca="false">IF(K7&gt;=$C$3,"ไฮซีซั่น",IF(K7&lt;=$G$3,"โลว์ซีซั่น","กึ่งไฮซีซั่น"))</f>
        <v>กึ่งไฮซีซั่น</v>
      </c>
      <c r="L19" s="7" t="str">
        <f aca="false">IF(L7&gt;=$C$3,"ไฮซีซั่น",IF(L7&lt;=$G$3,"โลว์ซีซั่น","กึ่งไฮซีซั่น"))</f>
        <v>กึ่งไฮซีซั่น</v>
      </c>
      <c r="M19" s="7" t="str">
        <f aca="false">IF(M7&gt;=$C$3,"ไฮซีซั่น",IF(M7&lt;=$G$3,"โลว์ซีซั่น","กึ่งไฮซีซั่น"))</f>
        <v>กึ่งไฮซีซั่น</v>
      </c>
      <c r="N19" s="7" t="str">
        <f aca="false">IF(N7&gt;=$C$3,"ไฮซีซั่น",IF(N7&lt;=$G$3,"โลว์ซีซั่น","กึ่งไฮซีซั่น"))</f>
        <v>กึ่งไฮซีซั่น</v>
      </c>
      <c r="O19" s="7" t="str">
        <f aca="false">IF(O7&gt;=$C$3,"ไฮซีซั่น",IF(O7&lt;=$G$3,"โลว์ซีซั่น","กึ่งไฮซีซั่น"))</f>
        <v>ไฮซีซั่น</v>
      </c>
      <c r="P19" s="7" t="n">
        <f aca="false">COUNTIF(D19:O19,"ไฮซีซั่น")</f>
        <v>2</v>
      </c>
    </row>
    <row r="20" customFormat="false" ht="15" hidden="false" customHeight="false" outlineLevel="0" collapsed="false">
      <c r="A20" s="10" t="str">
        <f aca="false">A8</f>
        <v>ขอนแก่น</v>
      </c>
      <c r="B20" s="8"/>
      <c r="C20" s="8"/>
      <c r="D20" s="7" t="str">
        <f aca="false">IF(D8&gt;=$C$3,"ไฮซีซั่น",IF(D8&lt;=$G$3,"โลว์ซีซั่น","กึ่งไฮซีซั่น"))</f>
        <v>กึ่งไฮซีซั่น</v>
      </c>
      <c r="E20" s="7" t="str">
        <f aca="false">IF(E8&gt;=$C$3,"ไฮซีซั่น",IF(E8&lt;=$G$3,"โลว์ซีซั่น","กึ่งไฮซีซั่น"))</f>
        <v>กึ่งไฮซีซั่น</v>
      </c>
      <c r="F20" s="7" t="str">
        <f aca="false">IF(F8&gt;=$C$3,"ไฮซีซั่น",IF(F8&lt;=$G$3,"โลว์ซีซั่น","กึ่งไฮซีซั่น"))</f>
        <v>กึ่งไฮซีซั่น</v>
      </c>
      <c r="G20" s="7" t="str">
        <f aca="false">IF(G8&gt;=$C$3,"ไฮซีซั่น",IF(G8&lt;=$G$3,"โลว์ซีซั่น","กึ่งไฮซีซั่น"))</f>
        <v>ไฮซีซั่น</v>
      </c>
      <c r="H20" s="7" t="str">
        <f aca="false">IF(H8&gt;=$C$3,"ไฮซีซั่น",IF(H8&lt;=$G$3,"โลว์ซีซั่น","กึ่งไฮซีซั่น"))</f>
        <v>กึ่งไฮซีซั่น</v>
      </c>
      <c r="I20" s="7" t="str">
        <f aca="false">IF(I8&gt;=$C$3,"ไฮซีซั่น",IF(I8&lt;=$G$3,"โลว์ซีซั่น","กึ่งไฮซีซั่น"))</f>
        <v>กึ่งไฮซีซั่น</v>
      </c>
      <c r="J20" s="7" t="str">
        <f aca="false">IF(J8&gt;=$C$3,"ไฮซีซั่น",IF(J8&lt;=$G$3,"โลว์ซีซั่น","กึ่งไฮซีซั่น"))</f>
        <v>กึ่งไฮซีซั่น</v>
      </c>
      <c r="K20" s="7" t="str">
        <f aca="false">IF(K8&gt;=$C$3,"ไฮซีซั่น",IF(K8&lt;=$G$3,"โลว์ซีซั่น","กึ่งไฮซีซั่น"))</f>
        <v>กึ่งไฮซีซั่น</v>
      </c>
      <c r="L20" s="7" t="str">
        <f aca="false">IF(L8&gt;=$C$3,"ไฮซีซั่น",IF(L8&lt;=$G$3,"โลว์ซีซั่น","กึ่งไฮซีซั่น"))</f>
        <v>กึ่งไฮซีซั่น</v>
      </c>
      <c r="M20" s="7" t="str">
        <f aca="false">IF(M8&gt;=$C$3,"ไฮซีซั่น",IF(M8&lt;=$G$3,"โลว์ซีซั่น","กึ่งไฮซีซั่น"))</f>
        <v>กึ่งไฮซีซั่น</v>
      </c>
      <c r="N20" s="7" t="str">
        <f aca="false">IF(N8&gt;=$C$3,"ไฮซีซั่น",IF(N8&lt;=$G$3,"โลว์ซีซั่น","กึ่งไฮซีซั่น"))</f>
        <v>กึ่งไฮซีซั่น</v>
      </c>
      <c r="O20" s="7" t="str">
        <f aca="false">IF(O8&gt;=$C$3,"ไฮซีซั่น",IF(O8&lt;=$G$3,"โลว์ซีซั่น","กึ่งไฮซีซั่น"))</f>
        <v>ไฮซีซั่น</v>
      </c>
      <c r="P20" s="7" t="n">
        <f aca="false">COUNTIF(D20:O20,"ไฮซีซั่น")</f>
        <v>2</v>
      </c>
    </row>
    <row r="21" customFormat="false" ht="15" hidden="false" customHeight="false" outlineLevel="0" collapsed="false">
      <c r="A21" s="10" t="str">
        <f aca="false">A9</f>
        <v>ภูเก็ต</v>
      </c>
      <c r="B21" s="8"/>
      <c r="C21" s="8"/>
      <c r="D21" s="7" t="str">
        <f aca="false">IF(D9&gt;=$C$3,"ไฮซีซั่น",IF(D9&lt;=$G$3,"โลว์ซีซั่น","กึ่งไฮซีซั่น"))</f>
        <v>ไฮซีซั่น</v>
      </c>
      <c r="E21" s="7" t="str">
        <f aca="false">IF(E9&gt;=$C$3,"ไฮซีซั่น",IF(E9&lt;=$G$3,"โลว์ซีซั่น","กึ่งไฮซีซั่น"))</f>
        <v>ไฮซีซั่น</v>
      </c>
      <c r="F21" s="7" t="str">
        <f aca="false">IF(F9&gt;=$C$3,"ไฮซีซั่น",IF(F9&lt;=$G$3,"โลว์ซีซั่น","กึ่งไฮซีซั่น"))</f>
        <v>ไฮซีซั่น</v>
      </c>
      <c r="G21" s="7" t="str">
        <f aca="false">IF(G9&gt;=$C$3,"ไฮซีซั่น",IF(G9&lt;=$G$3,"โลว์ซีซั่น","กึ่งไฮซีซั่น"))</f>
        <v>กึ่งไฮซีซั่น</v>
      </c>
      <c r="H21" s="7" t="str">
        <f aca="false">IF(H9&gt;=$C$3,"ไฮซีซั่น",IF(H9&lt;=$G$3,"โลว์ซีซั่น","กึ่งไฮซีซั่น"))</f>
        <v>โลว์ซีซั่น</v>
      </c>
      <c r="I21" s="7" t="str">
        <f aca="false">IF(I9&gt;=$C$3,"ไฮซีซั่น",IF(I9&lt;=$G$3,"โลว์ซีซั่น","กึ่งไฮซีซั่น"))</f>
        <v>โลว์ซีซั่น</v>
      </c>
      <c r="J21" s="7" t="str">
        <f aca="false">IF(J9&gt;=$C$3,"ไฮซีซั่น",IF(J9&lt;=$G$3,"โลว์ซีซั่น","กึ่งไฮซีซั่น"))</f>
        <v>โลว์ซีซั่น</v>
      </c>
      <c r="K21" s="7" t="str">
        <f aca="false">IF(K9&gt;=$C$3,"ไฮซีซั่น",IF(K9&lt;=$G$3,"โลว์ซีซั่น","กึ่งไฮซีซั่น"))</f>
        <v>โลว์ซีซั่น</v>
      </c>
      <c r="L21" s="7" t="str">
        <f aca="false">IF(L9&gt;=$C$3,"ไฮซีซั่น",IF(L9&lt;=$G$3,"โลว์ซีซั่น","กึ่งไฮซีซั่น"))</f>
        <v>โลว์ซีซั่น</v>
      </c>
      <c r="M21" s="7" t="str">
        <f aca="false">IF(M9&gt;=$C$3,"ไฮซีซั่น",IF(M9&lt;=$G$3,"โลว์ซีซั่น","กึ่งไฮซีซั่น"))</f>
        <v>โลว์ซีซั่น</v>
      </c>
      <c r="N21" s="7" t="str">
        <f aca="false">IF(N9&gt;=$C$3,"ไฮซีซั่น",IF(N9&lt;=$G$3,"โลว์ซีซั่น","กึ่งไฮซีซั่น"))</f>
        <v>กึ่งไฮซีซั่น</v>
      </c>
      <c r="O21" s="7" t="str">
        <f aca="false">IF(O9&gt;=$C$3,"ไฮซีซั่น",IF(O9&lt;=$G$3,"โลว์ซีซั่น","กึ่งไฮซีซั่น"))</f>
        <v>ไฮซีซั่น</v>
      </c>
      <c r="P21" s="7" t="n">
        <f aca="false">COUNTIF(D21:O21,"ไฮซีซั่น")</f>
        <v>4</v>
      </c>
    </row>
    <row r="22" customFormat="false" ht="15" hidden="false" customHeight="false" outlineLevel="0" collapsed="false">
      <c r="A22" s="10" t="str">
        <f aca="false">A10</f>
        <v>พัทยา</v>
      </c>
      <c r="B22" s="8"/>
      <c r="C22" s="8"/>
      <c r="D22" s="7" t="str">
        <f aca="false">IF(D10&gt;=$C$3,"ไฮซีซั่น",IF(D10&lt;=$G$3,"โลว์ซีซั่น","กึ่งไฮซีซั่น"))</f>
        <v>ไฮซีซั่น</v>
      </c>
      <c r="E22" s="7" t="str">
        <f aca="false">IF(E10&gt;=$C$3,"ไฮซีซั่น",IF(E10&lt;=$G$3,"โลว์ซีซั่น","กึ่งไฮซีซั่น"))</f>
        <v>ไฮซีซั่น</v>
      </c>
      <c r="F22" s="7" t="str">
        <f aca="false">IF(F10&gt;=$C$3,"ไฮซีซั่น",IF(F10&lt;=$G$3,"โลว์ซีซั่น","กึ่งไฮซีซั่น"))</f>
        <v>กึ่งไฮซีซั่น</v>
      </c>
      <c r="G22" s="7" t="str">
        <f aca="false">IF(G10&gt;=$C$3,"ไฮซีซั่น",IF(G10&lt;=$G$3,"โลว์ซีซั่น","กึ่งไฮซีซั่น"))</f>
        <v>ไฮซีซั่น</v>
      </c>
      <c r="H22" s="7" t="str">
        <f aca="false">IF(H10&gt;=$C$3,"ไฮซีซั่น",IF(H10&lt;=$G$3,"โลว์ซีซั่น","กึ่งไฮซีซั่น"))</f>
        <v>กึ่งไฮซีซั่น</v>
      </c>
      <c r="I22" s="7" t="str">
        <f aca="false">IF(I10&gt;=$C$3,"ไฮซีซั่น",IF(I10&lt;=$G$3,"โลว์ซีซั่น","กึ่งไฮซีซั่น"))</f>
        <v>โลว์ซีซั่น</v>
      </c>
      <c r="J22" s="7" t="str">
        <f aca="false">IF(J10&gt;=$C$3,"ไฮซีซั่น",IF(J10&lt;=$G$3,"โลว์ซีซั่น","กึ่งไฮซีซั่น"))</f>
        <v>โลว์ซีซั่น</v>
      </c>
      <c r="K22" s="7" t="str">
        <f aca="false">IF(K10&gt;=$C$3,"ไฮซีซั่น",IF(K10&lt;=$G$3,"โลว์ซีซั่น","กึ่งไฮซีซั่น"))</f>
        <v>กึ่งไฮซีซั่น</v>
      </c>
      <c r="L22" s="7" t="str">
        <f aca="false">IF(L10&gt;=$C$3,"ไฮซีซั่น",IF(L10&lt;=$G$3,"โลว์ซีซั่น","กึ่งไฮซีซั่น"))</f>
        <v>โลว์ซีซั่น</v>
      </c>
      <c r="M22" s="7" t="str">
        <f aca="false">IF(M10&gt;=$C$3,"ไฮซีซั่น",IF(M10&lt;=$G$3,"โลว์ซีซั่น","กึ่งไฮซีซั่น"))</f>
        <v>กึ่งไฮซีซั่น</v>
      </c>
      <c r="N22" s="7" t="str">
        <f aca="false">IF(N10&gt;=$C$3,"ไฮซีซั่น",IF(N10&lt;=$G$3,"โลว์ซีซั่น","กึ่งไฮซีซั่น"))</f>
        <v>กึ่งไฮซีซั่น</v>
      </c>
      <c r="O22" s="7" t="str">
        <f aca="false">IF(O10&gt;=$C$3,"ไฮซีซั่น",IF(O10&lt;=$G$3,"โลว์ซีซั่น","กึ่งไฮซีซั่น"))</f>
        <v>ไฮซีซั่น</v>
      </c>
      <c r="P22" s="7" t="n">
        <f aca="false">COUNTIF(D22:O22,"ไฮซีซั่น")</f>
        <v>4</v>
      </c>
    </row>
    <row r="23" customFormat="false" ht="15" hidden="false" customHeight="false" outlineLevel="0" collapsed="false">
      <c r="A23" s="10" t="str">
        <f aca="false">A11</f>
        <v>เพชรบุรี</v>
      </c>
      <c r="B23" s="8"/>
      <c r="C23" s="8"/>
      <c r="D23" s="7" t="str">
        <f aca="false">IF(D11&gt;=$C$3,"ไฮซีซั่น",IF(D11&lt;=$G$3,"โลว์ซีซั่น","กึ่งไฮซีซั่น"))</f>
        <v>ไฮซีซั่น</v>
      </c>
      <c r="E23" s="7" t="str">
        <f aca="false">IF(E11&gt;=$C$3,"ไฮซีซั่น",IF(E11&lt;=$G$3,"โลว์ซีซั่น","กึ่งไฮซีซั่น"))</f>
        <v>กึ่งไฮซีซั่น</v>
      </c>
      <c r="F23" s="7" t="str">
        <f aca="false">IF(F11&gt;=$C$3,"ไฮซีซั่น",IF(F11&lt;=$G$3,"โลว์ซีซั่น","กึ่งไฮซีซั่น"))</f>
        <v>กึ่งไฮซีซั่น</v>
      </c>
      <c r="G23" s="7" t="str">
        <f aca="false">IF(G11&gt;=$C$3,"ไฮซีซั่น",IF(G11&lt;=$G$3,"โลว์ซีซั่น","กึ่งไฮซีซั่น"))</f>
        <v>ไฮซีซั่น</v>
      </c>
      <c r="H23" s="7" t="str">
        <f aca="false">IF(H11&gt;=$C$3,"ไฮซีซั่น",IF(H11&lt;=$G$3,"โลว์ซีซั่น","กึ่งไฮซีซั่น"))</f>
        <v>กึ่งไฮซีซั่น</v>
      </c>
      <c r="I23" s="7" t="str">
        <f aca="false">IF(I11&gt;=$C$3,"ไฮซีซั่น",IF(I11&lt;=$G$3,"โลว์ซีซั่น","กึ่งไฮซีซั่น"))</f>
        <v>โลว์ซีซั่น</v>
      </c>
      <c r="J23" s="7" t="str">
        <f aca="false">IF(J11&gt;=$C$3,"ไฮซีซั่น",IF(J11&lt;=$G$3,"โลว์ซีซั่น","กึ่งไฮซีซั่น"))</f>
        <v>กึ่งไฮซีซั่น</v>
      </c>
      <c r="K23" s="7" t="str">
        <f aca="false">IF(K11&gt;=$C$3,"ไฮซีซั่น",IF(K11&lt;=$G$3,"โลว์ซีซั่น","กึ่งไฮซีซั่น"))</f>
        <v>กึ่งไฮซีซั่น</v>
      </c>
      <c r="L23" s="7" t="str">
        <f aca="false">IF(L11&gt;=$C$3,"ไฮซีซั่น",IF(L11&lt;=$G$3,"โลว์ซีซั่น","กึ่งไฮซีซั่น"))</f>
        <v>โลว์ซีซั่น</v>
      </c>
      <c r="M23" s="7" t="str">
        <f aca="false">IF(M11&gt;=$C$3,"ไฮซีซั่น",IF(M11&lt;=$G$3,"โลว์ซีซั่น","กึ่งไฮซีซั่น"))</f>
        <v>กึ่งไฮซีซั่น</v>
      </c>
      <c r="N23" s="7" t="str">
        <f aca="false">IF(N11&gt;=$C$3,"ไฮซีซั่น",IF(N11&lt;=$G$3,"โลว์ซีซั่น","กึ่งไฮซีซั่น"))</f>
        <v>กึ่งไฮซีซั่น</v>
      </c>
      <c r="O23" s="7" t="str">
        <f aca="false">IF(O11&gt;=$C$3,"ไฮซีซั่น",IF(O11&lt;=$G$3,"โลว์ซีซั่น","กึ่งไฮซีซั่น"))</f>
        <v>ไฮซีซั่น</v>
      </c>
      <c r="P23" s="7" t="n">
        <f aca="false">COUNTIF(D23:O23,"ไฮซีซั่น")</f>
        <v>3</v>
      </c>
    </row>
    <row r="24" customFormat="false" ht="15" hidden="false" customHeight="false" outlineLevel="0" collapsed="false">
      <c r="A24" s="10" t="str">
        <f aca="false">A12</f>
        <v>ราชบุรี</v>
      </c>
      <c r="B24" s="8"/>
      <c r="C24" s="8"/>
      <c r="D24" s="7" t="str">
        <f aca="false">IF(D12&gt;=$C$3,"ไฮซีซั่น",IF(D12&lt;=$G$3,"โลว์ซีซั่น","กึ่งไฮซีซั่น"))</f>
        <v>ไฮซีซั่น</v>
      </c>
      <c r="E24" s="7" t="str">
        <f aca="false">IF(E12&gt;=$C$3,"ไฮซีซั่น",IF(E12&lt;=$G$3,"โลว์ซีซั่น","กึ่งไฮซีซั่น"))</f>
        <v>กึ่งไฮซีซั่น</v>
      </c>
      <c r="F24" s="7" t="str">
        <f aca="false">IF(F12&gt;=$C$3,"ไฮซีซั่น",IF(F12&lt;=$G$3,"โลว์ซีซั่น","กึ่งไฮซีซั่น"))</f>
        <v>กึ่งไฮซีซั่น</v>
      </c>
      <c r="G24" s="7" t="str">
        <f aca="false">IF(G12&gt;=$C$3,"ไฮซีซั่น",IF(G12&lt;=$G$3,"โลว์ซีซั่น","กึ่งไฮซีซั่น"))</f>
        <v>กึ่งไฮซีซั่น</v>
      </c>
      <c r="H24" s="7" t="str">
        <f aca="false">IF(H12&gt;=$C$3,"ไฮซีซั่น",IF(H12&lt;=$G$3,"โลว์ซีซั่น","กึ่งไฮซีซั่น"))</f>
        <v>กึ่งไฮซีซั่น</v>
      </c>
      <c r="I24" s="7" t="str">
        <f aca="false">IF(I12&gt;=$C$3,"ไฮซีซั่น",IF(I12&lt;=$G$3,"โลว์ซีซั่น","กึ่งไฮซีซั่น"))</f>
        <v>โลว์ซีซั่น</v>
      </c>
      <c r="J24" s="7" t="str">
        <f aca="false">IF(J12&gt;=$C$3,"ไฮซีซั่น",IF(J12&lt;=$G$3,"โลว์ซีซั่น","กึ่งไฮซีซั่น"))</f>
        <v>กึ่งไฮซีซั่น</v>
      </c>
      <c r="K24" s="7" t="str">
        <f aca="false">IF(K12&gt;=$C$3,"ไฮซีซั่น",IF(K12&lt;=$G$3,"โลว์ซีซั่น","กึ่งไฮซีซั่น"))</f>
        <v>กึ่งไฮซีซั่น</v>
      </c>
      <c r="L24" s="7" t="str">
        <f aca="false">IF(L12&gt;=$C$3,"ไฮซีซั่น",IF(L12&lt;=$G$3,"โลว์ซีซั่น","กึ่งไฮซีซั่น"))</f>
        <v>โลว์ซีซั่น</v>
      </c>
      <c r="M24" s="7" t="str">
        <f aca="false">IF(M12&gt;=$C$3,"ไฮซีซั่น",IF(M12&lt;=$G$3,"โลว์ซีซั่น","กึ่งไฮซีซั่น"))</f>
        <v>กึ่งไฮซีซั่น</v>
      </c>
      <c r="N24" s="7" t="str">
        <f aca="false">IF(N12&gt;=$C$3,"ไฮซีซั่น",IF(N12&lt;=$G$3,"โลว์ซีซั่น","กึ่งไฮซีซั่น"))</f>
        <v>ไฮซีซั่น</v>
      </c>
      <c r="O24" s="7" t="str">
        <f aca="false">IF(O12&gt;=$C$3,"ไฮซีซั่น",IF(O12&lt;=$G$3,"โลว์ซีซั่น","กึ่งไฮซีซั่น"))</f>
        <v>ไฮซีซั่น</v>
      </c>
      <c r="P24" s="7" t="n">
        <f aca="false">COUNTIF(D24:O24,"ไฮซีซั่น")</f>
        <v>3</v>
      </c>
    </row>
    <row r="25" customFormat="false" ht="15" hidden="false" customHeight="false" outlineLevel="0" collapsed="false">
      <c r="A25" s="10" t="str">
        <f aca="false">A13</f>
        <v>ระนอง</v>
      </c>
      <c r="B25" s="8"/>
      <c r="C25" s="8"/>
      <c r="D25" s="7" t="str">
        <f aca="false">IF(D13&gt;=$C$3,"ไฮซีซั่น",IF(D13&lt;=$G$3,"โลว์ซีซั่น","กึ่งไฮซีซั่น"))</f>
        <v>ไฮซีซั่น</v>
      </c>
      <c r="E25" s="7" t="str">
        <f aca="false">IF(E13&gt;=$C$3,"ไฮซีซั่น",IF(E13&lt;=$G$3,"โลว์ซีซั่น","กึ่งไฮซีซั่น"))</f>
        <v>ไฮซีซั่น</v>
      </c>
      <c r="F25" s="7" t="str">
        <f aca="false">IF(F13&gt;=$C$3,"ไฮซีซั่น",IF(F13&lt;=$G$3,"โลว์ซีซั่น","กึ่งไฮซีซั่น"))</f>
        <v>ไฮซีซั่น</v>
      </c>
      <c r="G25" s="7" t="str">
        <f aca="false">IF(G13&gt;=$C$3,"ไฮซีซั่น",IF(G13&lt;=$G$3,"โลว์ซีซั่น","กึ่งไฮซีซั่น"))</f>
        <v>ไฮซีซั่น</v>
      </c>
      <c r="H25" s="7" t="str">
        <f aca="false">IF(H13&gt;=$C$3,"ไฮซีซั่น",IF(H13&lt;=$G$3,"โลว์ซีซั่น","กึ่งไฮซีซั่น"))</f>
        <v>โลว์ซีซั่น</v>
      </c>
      <c r="I25" s="7" t="str">
        <f aca="false">IF(I13&gt;=$C$3,"ไฮซีซั่น",IF(I13&lt;=$G$3,"โลว์ซีซั่น","กึ่งไฮซีซั่น"))</f>
        <v>โลว์ซีซั่น</v>
      </c>
      <c r="J25" s="7" t="str">
        <f aca="false">IF(J13&gt;=$C$3,"ไฮซีซั่น",IF(J13&lt;=$G$3,"โลว์ซีซั่น","กึ่งไฮซีซั่น"))</f>
        <v>โลว์ซีซั่น</v>
      </c>
      <c r="K25" s="7" t="str">
        <f aca="false">IF(K13&gt;=$C$3,"ไฮซีซั่น",IF(K13&lt;=$G$3,"โลว์ซีซั่น","กึ่งไฮซีซั่น"))</f>
        <v>โลว์ซีซั่น</v>
      </c>
      <c r="L25" s="7" t="str">
        <f aca="false">IF(L13&gt;=$C$3,"ไฮซีซั่น",IF(L13&lt;=$G$3,"โลว์ซีซั่น","กึ่งไฮซีซั่น"))</f>
        <v>โลว์ซีซั่น</v>
      </c>
      <c r="M25" s="7" t="str">
        <f aca="false">IF(M13&gt;=$C$3,"ไฮซีซั่น",IF(M13&lt;=$G$3,"โลว์ซีซั่น","กึ่งไฮซีซั่น"))</f>
        <v>โลว์ซีซั่น</v>
      </c>
      <c r="N25" s="7" t="str">
        <f aca="false">IF(N13&gt;=$C$3,"ไฮซีซั่น",IF(N13&lt;=$G$3,"โลว์ซีซั่น","กึ่งไฮซีซั่น"))</f>
        <v>กึ่งไฮซีซั่น</v>
      </c>
      <c r="O25" s="7" t="str">
        <f aca="false">IF(O13&gt;=$C$3,"ไฮซีซั่น",IF(O13&lt;=$G$3,"โลว์ซีซั่น","กึ่งไฮซีซั่น"))</f>
        <v>ไฮซีซั่น</v>
      </c>
      <c r="P25" s="7" t="n">
        <f aca="false">COUNTIF(D25:O25,"ไฮซีซั่น")</f>
        <v>5</v>
      </c>
    </row>
    <row r="26" customFormat="false" ht="15" hidden="false" customHeight="false" outlineLevel="0" collapsed="false">
      <c r="A26" s="10" t="str">
        <f aca="false">A14</f>
        <v>เชียงใหม่</v>
      </c>
      <c r="B26" s="8"/>
      <c r="C26" s="8"/>
      <c r="D26" s="7" t="str">
        <f aca="false">IF(D14&gt;=$C$3,"ไฮซีซั่น",IF(D14&lt;=$G$3,"โลว์ซีซั่น","กึ่งไฮซีซั่น"))</f>
        <v>ไฮซีซั่น</v>
      </c>
      <c r="E26" s="7" t="str">
        <f aca="false">IF(E14&gt;=$C$3,"ไฮซีซั่น",IF(E14&lt;=$G$3,"โลว์ซีซั่น","กึ่งไฮซีซั่น"))</f>
        <v>ไฮซีซั่น</v>
      </c>
      <c r="F26" s="7" t="str">
        <f aca="false">IF(F14&gt;=$C$3,"ไฮซีซั่น",IF(F14&lt;=$G$3,"โลว์ซีซั่น","กึ่งไฮซีซั่น"))</f>
        <v>กึ่งไฮซีซั่น</v>
      </c>
      <c r="G26" s="7" t="str">
        <f aca="false">IF(G14&gt;=$C$3,"ไฮซีซั่น",IF(G14&lt;=$G$3,"โลว์ซีซั่น","กึ่งไฮซีซั่น"))</f>
        <v>กึ่งไฮซีซั่น</v>
      </c>
      <c r="H26" s="7" t="str">
        <f aca="false">IF(H14&gt;=$C$3,"ไฮซีซั่น",IF(H14&lt;=$G$3,"โลว์ซีซั่น","กึ่งไฮซีซั่น"))</f>
        <v>โลว์ซีซั่น</v>
      </c>
      <c r="I26" s="7" t="str">
        <f aca="false">IF(I14&gt;=$C$3,"ไฮซีซั่น",IF(I14&lt;=$G$3,"โลว์ซีซั่น","กึ่งไฮซีซั่น"))</f>
        <v>โลว์ซีซั่น</v>
      </c>
      <c r="J26" s="7" t="str">
        <f aca="false">IF(J14&gt;=$C$3,"ไฮซีซั่น",IF(J14&lt;=$G$3,"โลว์ซีซั่น","กึ่งไฮซีซั่น"))</f>
        <v>โลว์ซีซั่น</v>
      </c>
      <c r="K26" s="7" t="str">
        <f aca="false">IF(K14&gt;=$C$3,"ไฮซีซั่น",IF(K14&lt;=$G$3,"โลว์ซีซั่น","กึ่งไฮซีซั่น"))</f>
        <v>โลว์ซีซั่น</v>
      </c>
      <c r="L26" s="7" t="str">
        <f aca="false">IF(L14&gt;=$C$3,"ไฮซีซั่น",IF(L14&lt;=$G$3,"โลว์ซีซั่น","กึ่งไฮซีซั่น"))</f>
        <v>โลว์ซีซั่น</v>
      </c>
      <c r="M26" s="7" t="str">
        <f aca="false">IF(M14&gt;=$C$3,"ไฮซีซั่น",IF(M14&lt;=$G$3,"โลว์ซีซั่น","กึ่งไฮซีซั่น"))</f>
        <v>กึ่งไฮซีซั่น</v>
      </c>
      <c r="N26" s="7" t="str">
        <f aca="false">IF(N14&gt;=$C$3,"ไฮซีซั่น",IF(N14&lt;=$G$3,"โลว์ซีซั่น","กึ่งไฮซีซั่น"))</f>
        <v>ไฮซีซั่น</v>
      </c>
      <c r="O26" s="7" t="str">
        <f aca="false">IF(O14&gt;=$C$3,"ไฮซีซั่น",IF(O14&lt;=$G$3,"โลว์ซีซั่น","กึ่งไฮซีซั่น"))</f>
        <v>ไฮซีซั่น</v>
      </c>
      <c r="P26" s="7" t="n">
        <f aca="false">COUNTIF(D26:O26,"ไฮซีซั่น")</f>
        <v>4</v>
      </c>
    </row>
    <row r="27" customFormat="false" ht="15" hidden="false" customHeight="false" outlineLevel="0" collapsed="false">
      <c r="A27" s="10" t="str">
        <f aca="false">A15</f>
        <v>เพชรบูรณ์</v>
      </c>
      <c r="B27" s="8"/>
      <c r="C27" s="8"/>
      <c r="D27" s="7" t="str">
        <f aca="false">IF(D15&gt;=$C$3,"ไฮซีซั่น",IF(D15&lt;=$G$3,"โลว์ซีซั่น","กึ่งไฮซีซั่น"))</f>
        <v>ไฮซีซั่น</v>
      </c>
      <c r="E27" s="7" t="str">
        <f aca="false">IF(E15&gt;=$C$3,"ไฮซีซั่น",IF(E15&lt;=$G$3,"โลว์ซีซั่น","กึ่งไฮซีซั่น"))</f>
        <v>กึ่งไฮซีซั่น</v>
      </c>
      <c r="F27" s="7" t="str">
        <f aca="false">IF(F15&gt;=$C$3,"ไฮซีซั่น",IF(F15&lt;=$G$3,"โลว์ซีซั่น","กึ่งไฮซีซั่น"))</f>
        <v>โลว์ซีซั่น</v>
      </c>
      <c r="G27" s="7" t="str">
        <f aca="false">IF(G15&gt;=$C$3,"ไฮซีซั่น",IF(G15&lt;=$G$3,"โลว์ซีซั่น","กึ่งไฮซีซั่น"))</f>
        <v>กึ่งไฮซีซั่น</v>
      </c>
      <c r="H27" s="7" t="str">
        <f aca="false">IF(H15&gt;=$C$3,"ไฮซีซั่น",IF(H15&lt;=$G$3,"โลว์ซีซั่น","กึ่งไฮซีซั่น"))</f>
        <v>โลว์ซีซั่น</v>
      </c>
      <c r="I27" s="7" t="str">
        <f aca="false">IF(I15&gt;=$C$3,"ไฮซีซั่น",IF(I15&lt;=$G$3,"โลว์ซีซั่น","กึ่งไฮซีซั่น"))</f>
        <v>โลว์ซีซั่น</v>
      </c>
      <c r="J27" s="7" t="str">
        <f aca="false">IF(J15&gt;=$C$3,"ไฮซีซั่น",IF(J15&lt;=$G$3,"โลว์ซีซั่น","กึ่งไฮซีซั่น"))</f>
        <v>โลว์ซีซั่น</v>
      </c>
      <c r="K27" s="7" t="str">
        <f aca="false">IF(K15&gt;=$C$3,"ไฮซีซั่น",IF(K15&lt;=$G$3,"โลว์ซีซั่น","กึ่งไฮซีซั่น"))</f>
        <v>โลว์ซีซั่น</v>
      </c>
      <c r="L27" s="7" t="str">
        <f aca="false">IF(L15&gt;=$C$3,"ไฮซีซั่น",IF(L15&lt;=$G$3,"โลว์ซีซั่น","กึ่งไฮซีซั่น"))</f>
        <v>โลว์ซีซั่น</v>
      </c>
      <c r="M27" s="7" t="str">
        <f aca="false">IF(M15&gt;=$C$3,"ไฮซีซั่น",IF(M15&lt;=$G$3,"โลว์ซีซั่น","กึ่งไฮซีซั่น"))</f>
        <v>กึ่งไฮซีซั่น</v>
      </c>
      <c r="N27" s="7" t="str">
        <f aca="false">IF(N15&gt;=$C$3,"ไฮซีซั่น",IF(N15&lt;=$G$3,"โลว์ซีซั่น","กึ่งไฮซีซั่น"))</f>
        <v>ไฮซีซั่น</v>
      </c>
      <c r="O27" s="7" t="str">
        <f aca="false">IF(O15&gt;=$C$3,"ไฮซีซั่น",IF(O15&lt;=$G$3,"โลว์ซีซั่น","กึ่งไฮซีซั่น"))</f>
        <v>ไฮซีซั่น</v>
      </c>
      <c r="P27" s="7" t="n">
        <f aca="false">COUNTIF(D27:O27,"ไฮซีซั่น")</f>
        <v>3</v>
      </c>
    </row>
  </sheetData>
  <conditionalFormatting sqref="D19:O27">
    <cfRule type="expression" priority="2" aboveAverage="0" equalAverage="0" bottom="0" percent="0" rank="0" text="" dxfId="4">
      <formula>D19="ไฮซีซั่น"</formula>
    </cfRule>
    <cfRule type="expression" priority="3" aboveAverage="0" equalAverage="0" bottom="0" percent="0" rank="0" text="" dxfId="5">
      <formula>D19="โลว์ซีซั่น"</formula>
    </cfRule>
    <cfRule type="expression" priority="4" aboveAverage="0" equalAverage="0" bottom="0" percent="0" rank="0" text="" dxfId="6">
      <formula>D19="กึ่งไฮซีซั่น"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44"/>
  </cols>
  <sheetData>
    <row r="1" customFormat="false" ht="17.15" hidden="false" customHeight="false" outlineLevel="0" collapsed="false">
      <c r="A1" s="1" t="s">
        <v>371</v>
      </c>
      <c r="B1" s="2"/>
      <c r="C1" s="2"/>
      <c r="D1" s="2"/>
    </row>
    <row r="2" customFormat="false" ht="15" hidden="false" customHeight="false" outlineLevel="0" collapsed="false">
      <c r="A2" s="3" t="s">
        <v>372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6" t="s">
        <v>373</v>
      </c>
      <c r="B4" s="6" t="s">
        <v>374</v>
      </c>
      <c r="C4" s="6" t="s">
        <v>265</v>
      </c>
      <c r="D4" s="6" t="s">
        <v>375</v>
      </c>
    </row>
    <row r="5" customFormat="false" ht="23.85" hidden="false" customHeight="false" outlineLevel="0" collapsed="false">
      <c r="A5" s="7" t="n">
        <v>1</v>
      </c>
      <c r="B5" s="8" t="s">
        <v>376</v>
      </c>
      <c r="C5" s="8" t="s">
        <v>377</v>
      </c>
      <c r="D5" s="8" t="s">
        <v>378</v>
      </c>
    </row>
    <row r="6" customFormat="false" ht="15" hidden="false" customHeight="false" outlineLevel="0" collapsed="false">
      <c r="A6" s="7" t="n">
        <v>2</v>
      </c>
      <c r="B6" s="8" t="s">
        <v>379</v>
      </c>
      <c r="C6" s="8" t="s">
        <v>380</v>
      </c>
      <c r="D6" s="8" t="s">
        <v>381</v>
      </c>
    </row>
    <row r="7" customFormat="false" ht="15" hidden="false" customHeight="false" outlineLevel="0" collapsed="false">
      <c r="A7" s="7" t="n">
        <v>3</v>
      </c>
      <c r="B7" s="8" t="s">
        <v>382</v>
      </c>
      <c r="C7" s="8" t="s">
        <v>383</v>
      </c>
      <c r="D7" s="8" t="s">
        <v>384</v>
      </c>
    </row>
    <row r="8" customFormat="false" ht="23.85" hidden="false" customHeight="false" outlineLevel="0" collapsed="false">
      <c r="A8" s="7" t="n">
        <v>4</v>
      </c>
      <c r="B8" s="8" t="s">
        <v>385</v>
      </c>
      <c r="C8" s="8" t="s">
        <v>386</v>
      </c>
      <c r="D8" s="8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388</v>
      </c>
      <c r="B1" s="2"/>
      <c r="C1" s="2"/>
      <c r="D1" s="2"/>
      <c r="E1" s="2"/>
    </row>
    <row r="2" customFormat="false" ht="15" hidden="false" customHeight="false" outlineLevel="0" collapsed="false">
      <c r="A2" s="3" t="s">
        <v>389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6" t="s">
        <v>373</v>
      </c>
      <c r="B4" s="6" t="s">
        <v>390</v>
      </c>
      <c r="C4" s="6" t="s">
        <v>391</v>
      </c>
      <c r="D4" s="6" t="s">
        <v>392</v>
      </c>
      <c r="E4" s="6" t="s">
        <v>393</v>
      </c>
    </row>
    <row r="5" customFormat="false" ht="23.85" hidden="false" customHeight="false" outlineLevel="0" collapsed="false">
      <c r="A5" s="7" t="n">
        <v>1</v>
      </c>
      <c r="B5" s="8" t="s">
        <v>394</v>
      </c>
      <c r="C5" s="8" t="s">
        <v>395</v>
      </c>
      <c r="D5" s="34" t="s">
        <v>396</v>
      </c>
      <c r="E5" s="8" t="s">
        <v>397</v>
      </c>
    </row>
    <row r="6" customFormat="false" ht="15" hidden="false" customHeight="false" outlineLevel="0" collapsed="false">
      <c r="A6" s="7" t="n">
        <v>2</v>
      </c>
      <c r="B6" s="8" t="s">
        <v>398</v>
      </c>
      <c r="C6" s="8" t="s">
        <v>399</v>
      </c>
      <c r="D6" s="34" t="s">
        <v>400</v>
      </c>
      <c r="E6" s="8" t="s">
        <v>401</v>
      </c>
    </row>
    <row r="7" customFormat="false" ht="15" hidden="false" customHeight="false" outlineLevel="0" collapsed="false">
      <c r="A7" s="7" t="n">
        <v>3</v>
      </c>
      <c r="B7" s="8" t="s">
        <v>402</v>
      </c>
      <c r="C7" s="8" t="s">
        <v>403</v>
      </c>
      <c r="D7" s="34" t="s">
        <v>404</v>
      </c>
      <c r="E7" s="8" t="s">
        <v>405</v>
      </c>
    </row>
    <row r="8" customFormat="false" ht="15" hidden="false" customHeight="false" outlineLevel="0" collapsed="false">
      <c r="A8" s="7" t="n">
        <v>4</v>
      </c>
      <c r="B8" s="8" t="s">
        <v>406</v>
      </c>
      <c r="C8" s="8" t="s">
        <v>407</v>
      </c>
      <c r="D8" s="34" t="s">
        <v>408</v>
      </c>
      <c r="E8" s="8" t="s">
        <v>409</v>
      </c>
    </row>
    <row r="9" customFormat="false" ht="15" hidden="false" customHeight="false" outlineLevel="0" collapsed="false">
      <c r="A9" s="7" t="n">
        <v>5</v>
      </c>
      <c r="B9" s="8" t="s">
        <v>410</v>
      </c>
      <c r="C9" s="8" t="s">
        <v>411</v>
      </c>
      <c r="D9" s="34" t="s">
        <v>412</v>
      </c>
      <c r="E9" s="8" t="s">
        <v>413</v>
      </c>
    </row>
    <row r="10" customFormat="false" ht="15" hidden="false" customHeight="false" outlineLevel="0" collapsed="false">
      <c r="A10" s="7" t="n">
        <v>6</v>
      </c>
      <c r="B10" s="8" t="s">
        <v>414</v>
      </c>
      <c r="C10" s="8" t="s">
        <v>415</v>
      </c>
      <c r="D10" s="34" t="s">
        <v>416</v>
      </c>
      <c r="E10" s="8" t="s">
        <v>417</v>
      </c>
    </row>
    <row r="11" customFormat="false" ht="23.85" hidden="false" customHeight="false" outlineLevel="0" collapsed="false">
      <c r="A11" s="7" t="n">
        <v>7</v>
      </c>
      <c r="B11" s="8" t="s">
        <v>418</v>
      </c>
      <c r="C11" s="8" t="s">
        <v>419</v>
      </c>
      <c r="D11" s="34" t="s">
        <v>420</v>
      </c>
      <c r="E11" s="8" t="s">
        <v>421</v>
      </c>
    </row>
    <row r="12" customFormat="false" ht="23.85" hidden="false" customHeight="false" outlineLevel="0" collapsed="false">
      <c r="A12" s="7" t="n">
        <v>8</v>
      </c>
      <c r="B12" s="8" t="s">
        <v>422</v>
      </c>
      <c r="C12" s="8" t="s">
        <v>423</v>
      </c>
      <c r="D12" s="34" t="s">
        <v>424</v>
      </c>
      <c r="E12" s="8" t="s">
        <v>425</v>
      </c>
    </row>
    <row r="13" customFormat="false" ht="23.85" hidden="false" customHeight="false" outlineLevel="0" collapsed="false">
      <c r="A13" s="7" t="n">
        <v>9</v>
      </c>
      <c r="B13" s="8" t="s">
        <v>426</v>
      </c>
      <c r="C13" s="8" t="s">
        <v>427</v>
      </c>
      <c r="D13" s="34" t="s">
        <v>428</v>
      </c>
      <c r="E13" s="8" t="s">
        <v>429</v>
      </c>
    </row>
    <row r="14" customFormat="false" ht="15" hidden="false" customHeight="false" outlineLevel="0" collapsed="false">
      <c r="A14" s="7" t="n">
        <v>10</v>
      </c>
      <c r="B14" s="8" t="s">
        <v>430</v>
      </c>
      <c r="C14" s="8" t="s">
        <v>431</v>
      </c>
      <c r="D14" s="34" t="s">
        <v>432</v>
      </c>
      <c r="E14" s="8" t="s">
        <v>433</v>
      </c>
    </row>
    <row r="15" customFormat="false" ht="15" hidden="false" customHeight="false" outlineLevel="0" collapsed="false">
      <c r="A15" s="7" t="n">
        <v>11</v>
      </c>
      <c r="B15" s="8" t="s">
        <v>434</v>
      </c>
      <c r="C15" s="8" t="s">
        <v>435</v>
      </c>
      <c r="D15" s="34" t="s">
        <v>436</v>
      </c>
      <c r="E15" s="8" t="s">
        <v>437</v>
      </c>
    </row>
    <row r="16" customFormat="false" ht="15" hidden="false" customHeight="false" outlineLevel="0" collapsed="false">
      <c r="A16" s="7" t="n">
        <v>12</v>
      </c>
      <c r="B16" s="8" t="s">
        <v>438</v>
      </c>
      <c r="C16" s="8" t="s">
        <v>439</v>
      </c>
      <c r="D16" s="34" t="s">
        <v>440</v>
      </c>
      <c r="E16" s="8" t="s">
        <v>441</v>
      </c>
    </row>
    <row r="17" customFormat="false" ht="15" hidden="false" customHeight="false" outlineLevel="0" collapsed="false">
      <c r="A17" s="7" t="n">
        <v>13</v>
      </c>
      <c r="B17" s="8" t="s">
        <v>442</v>
      </c>
      <c r="C17" s="8" t="s">
        <v>443</v>
      </c>
      <c r="D17" s="34" t="s">
        <v>444</v>
      </c>
      <c r="E17" s="8" t="s">
        <v>445</v>
      </c>
    </row>
    <row r="18" customFormat="false" ht="15" hidden="false" customHeight="false" outlineLevel="0" collapsed="false">
      <c r="A18" s="7" t="n">
        <v>14</v>
      </c>
      <c r="B18" s="8" t="s">
        <v>446</v>
      </c>
      <c r="C18" s="8" t="s">
        <v>447</v>
      </c>
      <c r="D18" s="34" t="s">
        <v>313</v>
      </c>
      <c r="E18" s="8" t="s">
        <v>441</v>
      </c>
    </row>
  </sheetData>
  <hyperlinks>
    <hyperlink ref="D5" r:id="rId1" display="https://insights.ehl.edu/hotel-industry-performance"/>
    <hyperlink ref="D6" r:id="rId2" display="https://www.nso.go.th/public/e-book/Statistical-Yearbook/SYB-2023/621/"/>
    <hyperlink ref="D7" r:id="rId3" display="https://www.phuketferry.com/th/the-weather-and-climate-of-phuket.html"/>
    <hyperlink ref="D8" r:id="rId4" display="https://www.nomadotravel.app/th/guides/best-time-to-visit-phuket"/>
    <hyperlink ref="D9" r:id="rId5" display="https://www.silpa-mag.com/history/article_159902"/>
    <hyperlink ref="D10" r:id="rId6" display="https://github.com/nvkelso/natural-earth-vector"/>
    <hyperlink ref="D11" r:id="rId7" display="https://pure.psu.edu/en/publications/electronic-word-of-mouth-in-hospitality-and-tourism-management/"/>
    <hyperlink ref="D12" r:id="rId8" display="https://en.wikipedia.org/wiki/SERVQUAL"/>
    <hyperlink ref="D13" r:id="rId9" display="https://1library.net/article/key-terms-discussion-assessment-literature.yexrev0q"/>
    <hyperlink ref="D14" r:id="rId10" display="https://dspace.angliss.edu.au/handle/20.500.12270/350"/>
    <hyperlink ref="D15" r:id="rId11" display="https://www.byklo.rent/th/blog/when-to-visit-phuket-weather/"/>
    <hyperlink ref="D16" r:id="rId12" display="https://supabase.com/pricing"/>
    <hyperlink ref="D17" r:id="rId13" display="https://docs.github.com/en/enterprise-server@3.2/pages/getting-started-with-github-pages/about-github-pages"/>
    <hyperlink ref="D18" r:id="rId14" display="https://www.colyseus.io/pric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2026-10-07T23:16:44Z</dcterms:created>
  <dc:creator>openpyxl</dc:creator>
  <dc:description/>
  <dc:language>en-US</dc:language>
  <cp:lastModifiedBy/>
  <dcterms:modified xsi:type="dcterms:W3CDTF">2026-10-07T23:16:44Z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